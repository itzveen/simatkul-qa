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" sheetId="1" state="visible" r:id="rId3"/>
    <sheet name="API Test Case" sheetId="2" state="visible" r:id="rId4"/>
    <sheet name="Bug Report" sheetId="3" state="visible" r:id="rId5"/>
    <sheet name="Dashboard" sheetId="4" state="visible" r:id="rId6"/>
    <sheet name="Recap Test Case" sheetId="5" state="visible" r:id="rId7"/>
    <sheet name="Recap Bu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<sst xmlns="http://schemas.openxmlformats.org/spreadsheetml/2006/main" count="1232" uniqueCount="596">
  <si>
    <t xml:space="preserve">No</t>
  </si>
  <si>
    <t xml:space="preserve">Module</t>
  </si>
  <si>
    <t xml:space="preserve">Test Case ID</t>
  </si>
  <si>
    <t xml:space="preserve">Test Case Name</t>
  </si>
  <si>
    <t xml:space="preserve">Priority</t>
  </si>
  <si>
    <t xml:space="preserve">Precondition</t>
  </si>
  <si>
    <t xml:space="preserve">Test Step</t>
  </si>
  <si>
    <t xml:space="preserve">Expected Result</t>
  </si>
  <si>
    <t xml:space="preserve">Type</t>
  </si>
  <si>
    <t xml:space="preserve">Status</t>
  </si>
  <si>
    <t xml:space="preserve">Test Proof</t>
  </si>
  <si>
    <t xml:space="preserve">Autentikasi</t>
  </si>
  <si>
    <t xml:space="preserve">TC-AUTH-001</t>
  </si>
  <si>
    <t xml:space="preserve">Verifikasi login dengan Username &amp; Password admin valid</t>
  </si>
  <si>
    <t xml:space="preserve">P1</t>
  </si>
  <si>
    <t xml:space="preserve">Admin memiliki kredensial default (Username &amp; Password) yang sudah di-set di sistem</t>
  </si>
  <si>
    <t xml:space="preserve">1. Buka URL sistem (halaman pertama adalah Login)
2. Input Username &amp; Password valid
3. Klik tombol Login</t>
  </si>
  <si>
    <t xml:space="preserve">Login berhasil, admin diarahkan ke Dashboard dengan 3 menu utama (Master Data, Penjadwalan, Hasil)</t>
  </si>
  <si>
    <t xml:space="preserve">Manual</t>
  </si>
  <si>
    <t xml:space="preserve">Not Tested</t>
  </si>
  <si>
    <t xml:space="preserve">-</t>
  </si>
  <si>
    <t xml:space="preserve">TC-AUTH-002</t>
  </si>
  <si>
    <t xml:space="preserve">Verifikasi login gagal dengan Password salah</t>
  </si>
  <si>
    <t xml:space="preserve">Admin berada di halaman login</t>
  </si>
  <si>
    <t xml:space="preserve">1. Input Username valid &amp; Password salah
2. Klik tombol Login</t>
  </si>
  <si>
    <t xml:space="preserve">Sistem menolak login dan menampilkan pesan error</t>
  </si>
  <si>
    <t xml:space="preserve">Automation</t>
  </si>
  <si>
    <t xml:space="preserve">TC-AUTH-003</t>
  </si>
  <si>
    <t xml:space="preserve">Verifikasi login gagal dengan Username tidak terdaftar</t>
  </si>
  <si>
    <t xml:space="preserve">1. Input Username yang tidak terdaftar
2. Input Password apapun
3. Klik tombol Login</t>
  </si>
  <si>
    <t xml:space="preserve">Sistem menolak login, tidak masuk ke Dashboard</t>
  </si>
  <si>
    <t xml:space="preserve">TC-AUTH-004</t>
  </si>
  <si>
    <t xml:space="preserve">Verifikasi validasi field kosong saat submit login</t>
  </si>
  <si>
    <t xml:space="preserve">P2</t>
  </si>
  <si>
    <t xml:space="preserve">1. Kosongkan field Username dan/atau Password
2. Klik tombol Login</t>
  </si>
  <si>
    <t xml:space="preserve">Sistem menampilkan validasi field wajib diisi, tidak memproses login</t>
  </si>
  <si>
    <t xml:space="preserve">TC-AUTH-005</t>
  </si>
  <si>
    <t xml:space="preserve">Verifikasi akses langsung ke Dashboard tanpa login (session guard)</t>
  </si>
  <si>
    <t xml:space="preserve">P0</t>
  </si>
  <si>
    <t xml:space="preserve">Belum ada sesi login aktif</t>
  </si>
  <si>
    <t xml:space="preserve">1. Akses langsung URL Dashboard/menu internal tanpa login</t>
  </si>
  <si>
    <t xml:space="preserve">Sistem redirect ke halaman Login (ASUMSI: perlu konfirmasi ke BE mekanisme session/route guard)</t>
  </si>
  <si>
    <t xml:space="preserve">TC-AUTH-006</t>
  </si>
  <si>
    <t xml:space="preserve">Verifikasi kredensial admin bersifat default/tunggal (tidak ada self-register)</t>
  </si>
  <si>
    <t xml:space="preserve">P3</t>
  </si>
  <si>
    <t xml:space="preserve">1. Amati halaman login</t>
  </si>
  <si>
    <t xml:space="preserve">Tidak ada menu/link Daftar atau Register (ASUMSI: perlu konfirmasi apakah kredensial admin hardcoded seperti MVP awal atau sudah dinamis)</t>
  </si>
  <si>
    <t xml:space="preserve">TC-AUTH-007</t>
  </si>
  <si>
    <t xml:space="preserve">Verifikasi field Password ter-mask (tidak menampilkan karakter plain text)</t>
  </si>
  <si>
    <t xml:space="preserve">1. Klik/isi field Password</t>
  </si>
  <si>
    <t xml:space="preserve">Karakter yang diketik ditampilkan sebagai titik/bintang (masked), bukan teks biasa</t>
  </si>
  <si>
    <t xml:space="preserve">TC-AUTH-008</t>
  </si>
  <si>
    <t xml:space="preserve">Verifikasi fungsi Logout mengakhiri sesi</t>
  </si>
  <si>
    <t xml:space="preserve">Admin sudah login dan berada di Dashboard</t>
  </si>
  <si>
    <t xml:space="preserve">1. Klik tombol/menu Logout</t>
  </si>
  <si>
    <t xml:space="preserve">Sesi admin berakhir dan sistem redirect ke halaman Login</t>
  </si>
  <si>
    <t xml:space="preserve">TC-AUTH-009</t>
  </si>
  <si>
    <t xml:space="preserve">Verifikasi halaman internal tidak bisa diakses via tombol Back setelah Logout</t>
  </si>
  <si>
    <t xml:space="preserve">Admin baru saja Logout</t>
  </si>
  <si>
    <t xml:space="preserve">1. Klik tombol Back pada browser untuk kembali ke halaman Dashboard</t>
  </si>
  <si>
    <t xml:space="preserve">Sistem tidak menampilkan Dashboard dari cache; tetap redirect/minta login ulang (ASUMSI: perlu konfirmasi cache-control header di BE)</t>
  </si>
  <si>
    <t xml:space="preserve">TC-AUTH-010</t>
  </si>
  <si>
    <t xml:space="preserve">Verifikasi leading/trailing whitespace pada Username tidak menyebabkan login valid gagal</t>
  </si>
  <si>
    <t xml:space="preserve">Admin punya kredensial valid</t>
  </si>
  <si>
    <t xml:space="preserve">1. Input Username dengan spasi tambahan di awal/akhir (mis. ' admin ') &amp; Password benar
2. Klik Login</t>
  </si>
  <si>
    <t xml:space="preserve">Sistem tetap berhasil login jika whitespace di-trim otomatis (ASUMSI: perlu konfirmasi apakah BE melakukan trim)</t>
  </si>
  <si>
    <t xml:space="preserve">Master Data</t>
  </si>
  <si>
    <t xml:space="preserve">TC-PERIODE-001</t>
  </si>
  <si>
    <t xml:space="preserve">Verifikasi kondisi awal saat belum ada Periode Akademik</t>
  </si>
  <si>
    <t xml:space="preserve">Belum ada data Periode Akademik sama sekali di sistem</t>
  </si>
  <si>
    <t xml:space="preserve">1. Admin login dan buka menu Master Data &gt; Periode Akademik</t>
  </si>
  <si>
    <t xml:space="preserve">Halaman menampilkan kondisi kosong (belum ada periode tersedia) dan mengarahkan admin untuk Tambah Periode Akademik</t>
  </si>
  <si>
    <t xml:space="preserve">TC-PERIODE-002</t>
  </si>
  <si>
    <t xml:space="preserve">Verifikasi tambah Periode Akademik pertama (mulai dari kosong)</t>
  </si>
  <si>
    <t xml:space="preserve">Belum ada Periode Akademik sebelumnya</t>
  </si>
  <si>
    <t xml:space="preserve">1. Klik Tambah Periode Akademik
2. Isi Awal Tahun Ajaran (mis. 2026), pilih Semester (Ganjil/Genap), Deskripsi (opsional)
3. Pilih opsi 'Mulai dari kosong'
4. Klik Simpan</t>
  </si>
  <si>
    <t xml:space="preserve">Periode baru tersimpan (mis. 2026/2027 - Ganjil) dan muncul di daftar Periode Akademik</t>
  </si>
  <si>
    <t xml:space="preserve">TC-PERIODE-003</t>
  </si>
  <si>
    <t xml:space="preserve">Verifikasi Akhir Tahun Ajaran ter-generate otomatis</t>
  </si>
  <si>
    <t xml:space="preserve">Admin berada di form Tambah Periode Akademik</t>
  </si>
  <si>
    <t xml:space="preserve">1. Input Awal Tahun Ajaran, mis. 2026</t>
  </si>
  <si>
    <t xml:space="preserve">Sistem otomatis menampilkan/menyimpan Akhir Tahun Ajaran sebagai 2027 tanpa perlu diisi manual</t>
  </si>
  <si>
    <t xml:space="preserve">TC-PERIODE-004</t>
  </si>
  <si>
    <t xml:space="preserve">Verifikasi Deskripsi bersifat opsional</t>
  </si>
  <si>
    <t xml:space="preserve">1. Isi semua field wajib, kosongkan field Deskripsi
2. Klik Simpan</t>
  </si>
  <si>
    <t xml:space="preserve">Periode tetap berhasil tersimpan meskipun Deskripsi dikosongkan</t>
  </si>
  <si>
    <t xml:space="preserve">TC-PERIODE-005</t>
  </si>
  <si>
    <t xml:space="preserve">Verifikasi opsi 'Salin dari Periode Lain' tersedia saat sudah ada periode sebelumnya</t>
  </si>
  <si>
    <t xml:space="preserve">Sudah ada minimal 1 Periode Akademik tersimpan (mis. 2025/2026 - Genap)</t>
  </si>
  <si>
    <t xml:space="preserve">1. Klik Tambah Periode Akademik baru
2. Pilih opsi salin dari sumber data
3. Pilih periode 2025/2026 - Genap sebagai sumber</t>
  </si>
  <si>
    <t xml:space="preserve">Data tertentu dari periode sumber (2025/2026 - Genap) tersalin ke periode baru yang sedang dibuat</t>
  </si>
  <si>
    <t xml:space="preserve">TC-PERIODE-006</t>
  </si>
  <si>
    <t xml:space="preserve">Verifikasi opsi salin TIDAK tersedia saat belum ada periode sebelumnya</t>
  </si>
  <si>
    <t xml:space="preserve">Belum ada Periode Akademik sama sekali (kondisi pertama kali)</t>
  </si>
  <si>
    <t xml:space="preserve">1. Klik Tambah Periode Akademik</t>
  </si>
  <si>
    <t xml:space="preserve">Opsi 'Salin dari Periode Lain' tidak tersedia/disabled, admin diarahkan wajib pilih 'Mulai dari kosong'</t>
  </si>
  <si>
    <t xml:space="preserve">TC-PERIODE-007</t>
  </si>
  <si>
    <t xml:space="preserve">Verifikasi edit Periode Akademik existing</t>
  </si>
  <si>
    <t xml:space="preserve">Sudah ada data Periode Akademik tersimpan</t>
  </si>
  <si>
    <t xml:space="preserve">1. Pilih periode existing
2. Ubah salah satu field (mis. Deskripsi)
3. Klik Simpan</t>
  </si>
  <si>
    <t xml:space="preserve">Perubahan tersimpan dan terlihat pada daftar Periode Akademik</t>
  </si>
  <si>
    <t xml:space="preserve">TC-PERIODE-008</t>
  </si>
  <si>
    <t xml:space="preserve">Verifikasi hapus Periode Akademik cascade ke seluruh data anak</t>
  </si>
  <si>
    <t xml:space="preserve">P00</t>
  </si>
  <si>
    <t xml:space="preserve">Periode Akademik X memiliki data terkait: Kurikulum, Ruangan, Dosen, Kelas, Sesi, dan Jadwal</t>
  </si>
  <si>
    <t xml:space="preserve">1. Pilih Periode Akademik X
2. Klik Hapus
3. Konfirmasi hapus</t>
  </si>
  <si>
    <t xml:space="preserve">Periode X terhapus, dan SELURUH data anak (Kurikulum, Ruangan, Dosen, Kelas, Sesi, Jadwal) yang terkait periode tsb ikut terhapus</t>
  </si>
  <si>
    <t xml:space="preserve">TC-PERIODE-009</t>
  </si>
  <si>
    <t xml:space="preserve">Verifikasi admin dapat memilih Periode Akademik untuk dikelola</t>
  </si>
  <si>
    <t xml:space="preserve">Sudah ada lebih dari 1 Periode Akademik tersimpan</t>
  </si>
  <si>
    <t xml:space="preserve">1. Buka daftar Periode Akademik
2. Pilih salah satu periode</t>
  </si>
  <si>
    <t xml:space="preserve">Sistem menampilkan data Master Data (Kurikulum, Ruangan, dst) yang spesifik untuk periode yang dipilih</t>
  </si>
  <si>
    <t xml:space="preserve">TC-PERIODE-010</t>
  </si>
  <si>
    <t xml:space="preserve">Verifikasi validasi Awal Tahun Ajaran harus angka 4 digit</t>
  </si>
  <si>
    <t xml:space="preserve">1. Input Awal Tahun Ajaran dengan huruf/karakter non-angka (mis. 'abcd')
2. Klik Simpan</t>
  </si>
  <si>
    <t xml:space="preserve">Sistem menolak dan menampilkan validasi format tahun tidak valid</t>
  </si>
  <si>
    <t xml:space="preserve">TC-PERIODE-011</t>
  </si>
  <si>
    <t xml:space="preserve">Verifikasi penolakan Periode Akademik duplikat (tahun &amp; semester sama persis)</t>
  </si>
  <si>
    <t xml:space="preserve">Sudah ada Periode 2026/2027 - Ganjil tersimpan</t>
  </si>
  <si>
    <t xml:space="preserve">1. Tambah Periode baru dengan Awal Tahun Ajaran &amp; Semester yang sama persis
2. Klik Simpan</t>
  </si>
  <si>
    <t xml:space="preserve">Sistem menolak dan menampilkan pesan periode sudah ada (ASUMSI: perlu konfirmasi rule uniqueness)</t>
  </si>
  <si>
    <t xml:space="preserve">TC-PERIODE-012</t>
  </si>
  <si>
    <t xml:space="preserve">Verifikasi dialog konfirmasi sebelum hapus Periode Akademik</t>
  </si>
  <si>
    <t xml:space="preserve">Ada Periode Akademik dengan banyak data anak (Kurikulum, Jadwal, dst)</t>
  </si>
  <si>
    <t xml:space="preserve">1. Klik Hapus pada suatu Periode Akademik</t>
  </si>
  <si>
    <t xml:space="preserve">Sistem menampilkan dialog konfirmasi yang jelas (mis. peringatan seluruh data terkait akan ikut terhapus) sebelum eksekusi hapus</t>
  </si>
  <si>
    <t xml:space="preserve">TC-PERIODE-013</t>
  </si>
  <si>
    <t xml:space="preserve">Verifikasi format tampilan Periode Akademik pada daftar</t>
  </si>
  <si>
    <t xml:space="preserve">Ada Periode Akademik tersimpan</t>
  </si>
  <si>
    <t xml:space="preserve">1. Buka daftar Periode Akademik
2. Amati format teks yang ditampilkan</t>
  </si>
  <si>
    <t xml:space="preserve">Format tampilan konsisten mengikuti pola 'AwalTahun/AkhirTahun - Semester' (mis. '2026/2027 - Ganjil')</t>
  </si>
  <si>
    <t xml:space="preserve">TC-PERIODE-014</t>
  </si>
  <si>
    <t xml:space="preserve">Verifikasi pencarian/filter Periode Akademik saat data banyak</t>
  </si>
  <si>
    <t xml:space="preserve">Ada lebih dari 10 data Periode Akademik tersimpan</t>
  </si>
  <si>
    <t xml:space="preserve">1. Gunakan fitur pencarian/filter pada daftar Periode Akademik dengan kata kunci tahun tertentu</t>
  </si>
  <si>
    <t xml:space="preserve">Hasil pencarian menampilkan periode yang sesuai kata kunci saja (ASUMSI: perlu konfirmasi apakah fitur search tersedia di UI)</t>
  </si>
  <si>
    <t xml:space="preserve">TC-KURIKULUM-001</t>
  </si>
  <si>
    <t xml:space="preserve">Verifikasi tambah Kurikulum dengan semua field valid</t>
  </si>
  <si>
    <t xml:space="preserve">Sudah memilih Periode Akademik aktif</t>
  </si>
  <si>
    <t xml:space="preserve">1. Buka Master Data &gt; Kurikulum
2. Klik Tambah Mata Kuliah
3. Isi Program Studi, Nama MK, Kode MK, Semester, Bobot SKS, Tipe Kelas, Jenis MK, Kelompok
4. Klik Simpan</t>
  </si>
  <si>
    <t xml:space="preserve">Mata kuliah baru tersimpan dan tampil pada daftar Kurikulum untuk periode aktif</t>
  </si>
  <si>
    <t xml:space="preserve">TC-KURIKULUM-002</t>
  </si>
  <si>
    <t xml:space="preserve">Verifikasi penolakan Kode MK duplikat</t>
  </si>
  <si>
    <t xml:space="preserve">Sudah ada Kurikulum dengan Kode MK tertentu pada periode yang sama</t>
  </si>
  <si>
    <t xml:space="preserve">1. Tambah Kurikulum baru dengan Kode MK yang sama persis
2. Klik Simpan</t>
  </si>
  <si>
    <t xml:space="preserve">Sistem menolak dan menampilkan pesan Kode MK sudah terdaftar (ASUMSI: perlu konfirmasi apakah unique per periode atau global)</t>
  </si>
  <si>
    <t xml:space="preserve">TC-KURIKULUM-003</t>
  </si>
  <si>
    <t xml:space="preserve">Verifikasi dropdown Program Studi menampilkan 4 pilihan (TRPL/TRE/TRI/TRIKA)</t>
  </si>
  <si>
    <t xml:space="preserve">Admin berada di form Tambah/Edit Mata Kuliah</t>
  </si>
  <si>
    <t xml:space="preserve">1. Klik dropdown Program Studi</t>
  </si>
  <si>
    <t xml:space="preserve">Dropdown menampilkan tepat 4 opsi: TRPL, TRE, TRI, TRIKA (ASUMSI: konfirmasi ejaan resmi 'TRIKA' vs 'TRIK')</t>
  </si>
  <si>
    <t xml:space="preserve">TC-KURIKULUM-004</t>
  </si>
  <si>
    <t xml:space="preserve">Verifikasi dropdown Jenis Mata Kuliah hanya Wajib/Pilihan</t>
  </si>
  <si>
    <t xml:space="preserve">1. Klik dropdown Jenis Mata Kuliah</t>
  </si>
  <si>
    <t xml:space="preserve">Dropdown hanya menampilkan 2 opsi: 'Wajib' dan 'Pilihan', tidak bisa diisi teks bebas</t>
  </si>
  <si>
    <t xml:space="preserve">TC-KURIKULUM-005</t>
  </si>
  <si>
    <t xml:space="preserve">Verifikasi dropdown Tipe Kelas hanya MKK/MKDU</t>
  </si>
  <si>
    <t xml:space="preserve">1. Klik dropdown Tipe Kelas</t>
  </si>
  <si>
    <t xml:space="preserve">Dropdown hanya menampilkan 2 opsi: 'MKK' dan 'MKDU', sesuai kategori pada spreadsheet dosen</t>
  </si>
  <si>
    <t xml:space="preserve">TC-KURIKULUM-006</t>
  </si>
  <si>
    <t xml:space="preserve">Verifikasi edit &amp; hapus data Kurikulum</t>
  </si>
  <si>
    <t xml:space="preserve">Sudah ada data Kurikulum tersimpan</t>
  </si>
  <si>
    <t xml:space="preserve">1. Pilih data Kurikulum
2. Ubah salah satu field lalu Simpan (edit)
3. Ulangi dengan aksi Hapus pada data lain</t>
  </si>
  <si>
    <t xml:space="preserve">Perubahan data tersimpan saat edit; data terhapus dari daftar saat dihapus</t>
  </si>
  <si>
    <t xml:space="preserve">TC-KURIKULUM-007</t>
  </si>
  <si>
    <t xml:space="preserve">Verifikasi validasi seluruh field wajib tidak boleh kosong saat submit</t>
  </si>
  <si>
    <t xml:space="preserve">Admin berada di form Tambah Mata Kuliah</t>
  </si>
  <si>
    <t xml:space="preserve">1. Kosongkan salah satu field wajib (mis. Nama MK)
2. Klik Simpan</t>
  </si>
  <si>
    <t xml:space="preserve">Sistem menolak submit dan menampilkan validasi field wajib diisi per field yang kosong</t>
  </si>
  <si>
    <t xml:space="preserve">TC-KURIKULUM-008</t>
  </si>
  <si>
    <t xml:space="preserve">Verifikasi validasi Bobot SKS harus angka &amp; lebih dari 0</t>
  </si>
  <si>
    <t xml:space="preserve">1. Input Bobot SKS dengan huruf atau angka 0/negatif
2. Klik Simpan</t>
  </si>
  <si>
    <t xml:space="preserve">Sistem menolak dan menampilkan validasi nilai SKS tidak valid</t>
  </si>
  <si>
    <t xml:space="preserve">TC-KURIKULUM-009</t>
  </si>
  <si>
    <t xml:space="preserve">Verifikasi validasi Bobot SKS tidak melebihi batas wajar</t>
  </si>
  <si>
    <t xml:space="preserve">1. Input Bobot SKS dengan nilai sangat besar (mis. 20)
2. Klik Simpan</t>
  </si>
  <si>
    <t xml:space="preserve">Sistem menampilkan validasi/peringatan nilai di luar rentang wajar (ASUMSI: perlu konfirmasi batas maksimum SKS resmi)</t>
  </si>
  <si>
    <t xml:space="preserve">TC-KURIKULUM-010</t>
  </si>
  <si>
    <t xml:space="preserve">Verifikasi pencarian/filter Kurikulum berdasarkan Nama atau Kode MK</t>
  </si>
  <si>
    <t xml:space="preserve">Ada banyak data Kurikulum tersimpan</t>
  </si>
  <si>
    <t xml:space="preserve">1. Gunakan fitur pencarian dengan kata kunci Nama/Kode MK tertentu</t>
  </si>
  <si>
    <t xml:space="preserve">Hasil pencarian menampilkan data Kurikulum yang cocok dengan kata kunci</t>
  </si>
  <si>
    <t xml:space="preserve">TC-KURIKULUM-011</t>
  </si>
  <si>
    <t xml:space="preserve">Verifikasi validasi panjang karakter maksimum Nama Mata Kuliah</t>
  </si>
  <si>
    <t xml:space="preserve">1. Input Nama Mata Kuliah melebihi batas maksimum karakter field</t>
  </si>
  <si>
    <t xml:space="preserve">Sistem menolak/memotong input sesuai batas maksimum karakter yang ditentukan</t>
  </si>
  <si>
    <t xml:space="preserve">TC-RUANGAN-001</t>
  </si>
  <si>
    <t xml:space="preserve">Verifikasi tambah Ruangan dengan nama bebas</t>
  </si>
  <si>
    <t xml:space="preserve">Admin berada di menu Master Data &gt; Ruangan</t>
  </si>
  <si>
    <t xml:space="preserve">1. Klik Tambah Ruang
2. Isi Nama Ruangan bebas (mis. 'CU207' atau nama lain apapun)
3. Klik Simpan</t>
  </si>
  <si>
    <t xml:space="preserve">Ruangan baru tersimpan dan tampil di daftar Ruangan, tanpa dibatasi daftar nama tertentu</t>
  </si>
  <si>
    <t xml:space="preserve">TC-RUANGAN-002</t>
  </si>
  <si>
    <t xml:space="preserve">Verifikasi penolakan nama Ruangan duplikat</t>
  </si>
  <si>
    <t xml:space="preserve">Sudah ada Ruangan dengan nama tertentu</t>
  </si>
  <si>
    <t xml:space="preserve">1. Tambah Ruangan baru dengan nama yang sama persis
2. Klik Simpan</t>
  </si>
  <si>
    <t xml:space="preserve">Sistem menolak/memberi peringatan nama ruangan sudah ada (ASUMSI: perlu konfirmasi rule uniqueness nama ruangan)</t>
  </si>
  <si>
    <t xml:space="preserve">TC-RUANGAN-003</t>
  </si>
  <si>
    <t xml:space="preserve">Verifikasi validasi Nama Ruangan tidak boleh kosong</t>
  </si>
  <si>
    <t xml:space="preserve">Admin berada di form Tambah Ruangan</t>
  </si>
  <si>
    <t xml:space="preserve">1. Kosongkan field Nama Ruangan
2. Klik Simpan</t>
  </si>
  <si>
    <t xml:space="preserve">Sistem menolak submit dan menampilkan validasi field wajib diisi</t>
  </si>
  <si>
    <t xml:space="preserve">TC-RUANGAN-004</t>
  </si>
  <si>
    <t xml:space="preserve">Verifikasi pencarian/filter Ruangan pada daftar</t>
  </si>
  <si>
    <t xml:space="preserve">Ada banyak data Ruangan tersimpan</t>
  </si>
  <si>
    <t xml:space="preserve">1. Gunakan fitur pencarian dengan nama ruangan tertentu</t>
  </si>
  <si>
    <t xml:space="preserve">Hasil pencarian menampilkan ruangan yang cocok dengan kata kunci</t>
  </si>
  <si>
    <t xml:space="preserve">TC-DOSEN-001</t>
  </si>
  <si>
    <t xml:space="preserve">Verifikasi tambah Dosen hanya dengan Nama Dosen</t>
  </si>
  <si>
    <t xml:space="preserve">Admin berada di menu Master Data &gt; Dosen</t>
  </si>
  <si>
    <t xml:space="preserve">1. Klik Tambah Dosen
2. Isi Nama Dosen
3. Klik Simpan</t>
  </si>
  <si>
    <t xml:space="preserve">Data dosen tersimpan dan tampil di daftar Dosen (tanpa field SKS/jabatan akademik, sesuai scope terbaru)</t>
  </si>
  <si>
    <t xml:space="preserve">TC-DOSEN-002</t>
  </si>
  <si>
    <t xml:space="preserve">Verifikasi validasi Nama Dosen tidak boleh kosong</t>
  </si>
  <si>
    <t xml:space="preserve">Admin berada di form Tambah Dosen</t>
  </si>
  <si>
    <t xml:space="preserve">1. Kosongkan field Nama Dosen
2. Klik Simpan</t>
  </si>
  <si>
    <t xml:space="preserve">TC-DOSEN-003</t>
  </si>
  <si>
    <t xml:space="preserve">Verifikasi validasi panjang karakter maksimum Nama Dosen</t>
  </si>
  <si>
    <t xml:space="preserve">1. Input Nama Dosen melebihi batas maksimum karakter field</t>
  </si>
  <si>
    <t xml:space="preserve">TC-DOSEN-004</t>
  </si>
  <si>
    <t xml:space="preserve">Verifikasi pencarian/filter Dosen pada daftar</t>
  </si>
  <si>
    <t xml:space="preserve">Ada banyak data Dosen tersimpan</t>
  </si>
  <si>
    <t xml:space="preserve">1. Gunakan fitur pencarian dengan nama dosen tertentu</t>
  </si>
  <si>
    <t xml:space="preserve">Hasil pencarian menampilkan dosen yang cocok dengan kata kunci</t>
  </si>
  <si>
    <t xml:space="preserve">TC-KELAS-001</t>
  </si>
  <si>
    <t xml:space="preserve">Verifikasi input jumlah Kelas Teori &amp; Praktikum meng-generate nama kelas otomatis</t>
  </si>
  <si>
    <t xml:space="preserve">Program Studi &amp; Semester sudah dipilih</t>
  </si>
  <si>
    <t xml:space="preserve">1. Buka Master Data &gt; Kelas, klik Tambah Kelas
2. Pilih Program Studi &amp; Semester
3. Isi Jumlah Kelas Teori (mis. 2) dan Jumlah Kelas Praktikum (mis. 4)
4. Klik Simpan</t>
  </si>
  <si>
    <t xml:space="preserve">Sistem auto-generate nama kelas sesuai skema (Teori: AA, AB; Praktikum: A1, A2, B1, B2) dan tampil di daftar Kelas</t>
  </si>
  <si>
    <t xml:space="preserve">TC-KELAS-002</t>
  </si>
  <si>
    <t xml:space="preserve">Verifikasi filter Kelas berdasarkan Program Studi (TRPL/TRE/TRI/TRIKA)</t>
  </si>
  <si>
    <t xml:space="preserve">Sudah ada data Kelas untuk beberapa Program Studi</t>
  </si>
  <si>
    <t xml:space="preserve">1. Buka Master Data &gt; Kelas
2. Pilih salah satu filter Program Studi</t>
  </si>
  <si>
    <t xml:space="preserve">Daftar Kelas yang tampil hanya untuk Program Studi yang dipilih</t>
  </si>
  <si>
    <t xml:space="preserve">TC-KELAS-003</t>
  </si>
  <si>
    <t xml:space="preserve">Verifikasi relasi Parent (Teori) - Child (Praktikum) terbentuk otomatis</t>
  </si>
  <si>
    <t xml:space="preserve">Kelas Teori &amp; Praktikum sudah di-generate dari jumlah yang sama pada TC-KELAS-001</t>
  </si>
  <si>
    <t xml:space="preserve">1. Buka detail Kelas Teori (mis. AA)
2. Amati Kelas Praktikum terkait</t>
  </si>
  <si>
    <t xml:space="preserve">Kelas Praktikum (mis. A1, A2) otomatis terhubung sebagai child dari Kelas Teori AA</t>
  </si>
  <si>
    <t xml:space="preserve">TC-KELAS-004</t>
  </si>
  <si>
    <t xml:space="preserve">Verifikasi validasi Jumlah Kelas Teori/Praktikum tidak boleh 0, negatif, atau desimal</t>
  </si>
  <si>
    <t xml:space="preserve">Admin berada di form Tambah Kelas</t>
  </si>
  <si>
    <t xml:space="preserve">1. Input Jumlah Kelas Teori/Praktikum dengan 0, angka negatif, atau desimal (mis. 1.5)
2. Klik Simpan</t>
  </si>
  <si>
    <t xml:space="preserve">Sistem menolak dan menampilkan validasi jumlah kelas harus bilangan bulat positif</t>
  </si>
  <si>
    <t xml:space="preserve">TC-KELAS-005</t>
  </si>
  <si>
    <t xml:space="preserve">Verifikasi edit jumlah Kelas existing menyesuaikan kelas yang di-generate</t>
  </si>
  <si>
    <t xml:space="preserve">Sudah ada Kelas ter-generate dari jumlah tertentu (mis. 2 Teori, 4 Praktikum)</t>
  </si>
  <si>
    <t xml:space="preserve">1. Edit jumlah Kelas Teori/Praktikum menjadi lebih besar/kecil
2. Klik Simpan</t>
  </si>
  <si>
    <t xml:space="preserve">Sistem menyesuaikan kelas yang ter-generate (menambah/mengurangi) sesuai jumlah baru, relasi parent-child tetap konsisten (ASUMSI: perlu konfirmasi behavior saat mengurangi kelas yang sudah dipakai jadwal)</t>
  </si>
  <si>
    <t xml:space="preserve">TC-KELAS-006</t>
  </si>
  <si>
    <t xml:space="preserve">Verifikasi hapus Kelas</t>
  </si>
  <si>
    <t xml:space="preserve">Ada data Kelas tersimpan yang belum dipakai di Penjadwalan</t>
  </si>
  <si>
    <t xml:space="preserve">1. Pilih Kelas tsb
2. Klik Hapus
3. Konfirmasi hapus</t>
  </si>
  <si>
    <t xml:space="preserve">Kelas terhapus dari daftar</t>
  </si>
  <si>
    <t xml:space="preserve">TC-SESI-001</t>
  </si>
  <si>
    <t xml:space="preserve">Verifikasi tambah Sesi dengan Jam Mulai &amp; Jam Berakhir</t>
  </si>
  <si>
    <t xml:space="preserve">Admin berada di menu Master Data &gt; Sesi</t>
  </si>
  <si>
    <t xml:space="preserve">1. Klik Tambah Sesi
2. Isi Jam Mulai (mis. 07.00) &amp; Jam Berakhir (mis. 08.40)
3. Klik Simpan</t>
  </si>
  <si>
    <t xml:space="preserve">Sesi baru tersimpan dengan rentang waktu tsb dan tersedia untuk dipakai di Penjadwalan</t>
  </si>
  <si>
    <t xml:space="preserve">TC-SESI-002</t>
  </si>
  <si>
    <t xml:space="preserve">Verifikasi dropdown Sesi Praktikum hanya menampilkan paket 'Sesi 1-2' dan 'Sesi 3-4'</t>
  </si>
  <si>
    <t xml:space="preserve">Sudah ada minimal 4 Sesi (waktu) tersimpan untuk direpresentasikan sebagai Sesi 1-4</t>
  </si>
  <si>
    <t xml:space="preserve">1. Buka form yang menggunakan Sesi untuk Kelas Praktikum
2. Klik dropdown Sesi</t>
  </si>
  <si>
    <t xml:space="preserve">Dropdown hanya menampilkan 2 opsi paket: 'Sesi 1-2' dan 'Sesi 3-4', meskipun representasi waktu sesi kini custom per jam</t>
  </si>
  <si>
    <t xml:space="preserve">TC-SESI-003</t>
  </si>
  <si>
    <t xml:space="preserve">Verifikasi kombinasi Sesi tidak valid (mis. 2-3) untuk Praktikum ditolak</t>
  </si>
  <si>
    <t xml:space="preserve">Admin mencoba set Sesi untuk Kelas Praktikum</t>
  </si>
  <si>
    <t xml:space="preserve">1. Coba pilih/paksa kombinasi 'Sesi 2-3' pada Kelas Praktikum</t>
  </si>
  <si>
    <t xml:space="preserve">Opsi tsb tidak tersedia di dropdown; jika dipaksa lewat request langsung, backend tetap menolak (aturan pairing tetap berlaku meski representasi sesi berbeda dari versi awal)</t>
  </si>
  <si>
    <t xml:space="preserve">TC-SESI-004</t>
  </si>
  <si>
    <t xml:space="preserve">Verifikasi validasi Jam Mulai harus lebih awal dari Jam Berakhir</t>
  </si>
  <si>
    <t xml:space="preserve">Admin berada di form Tambah Sesi</t>
  </si>
  <si>
    <t xml:space="preserve">1. Input Jam Mulai lebih besar dari Jam Berakhir (mis. Mulai 09.00, Berakhir 08.00)
2. Klik Simpan</t>
  </si>
  <si>
    <t xml:space="preserve">Sistem menolak dan menampilkan validasi rentang waktu tidak valid</t>
  </si>
  <si>
    <t xml:space="preserve">TC-SESI-005</t>
  </si>
  <si>
    <t xml:space="preserve">Verifikasi validasi format input Jam sesuai pola waktu yang benar</t>
  </si>
  <si>
    <t xml:space="preserve">1. Input Jam Mulai/Berakhir dengan format tidak valid (mis. '25.99' atau huruf)</t>
  </si>
  <si>
    <t xml:space="preserve">Sistem menolak dan menampilkan validasi format jam tidak valid</t>
  </si>
  <si>
    <t xml:space="preserve">TC-SESI-006</t>
  </si>
  <si>
    <t xml:space="preserve">Verifikasi Sesi baru tidak boleh overlap waktu dengan Sesi lain</t>
  </si>
  <si>
    <t xml:space="preserve">Sudah ada Sesi 1 (07.00-08.40) tersimpan</t>
  </si>
  <si>
    <t xml:space="preserve">1. Tambah Sesi baru dengan rentang waktu yang overlap (mis. 08.00-09.00)
2. Klik Simpan</t>
  </si>
  <si>
    <t xml:space="preserve">Sistem menolak/memberi peringatan overlap waktu sesi (ASUMSI: perlu konfirmasi apakah validasi overlap ini ada di scope sistem)</t>
  </si>
  <si>
    <t xml:space="preserve">TC-SESI-007</t>
  </si>
  <si>
    <t xml:space="preserve">Verifikasi edit &amp; hapus data Sesi</t>
  </si>
  <si>
    <t xml:space="preserve">Ada data Sesi tersimpan yang belum dipakai di Penjadwalan</t>
  </si>
  <si>
    <t xml:space="preserve">1. Edit salah satu Sesi (ubah jam), Simpan
2. Hapus Sesi lain, konfirmasi hapus</t>
  </si>
  <si>
    <t xml:space="preserve">Perubahan jam tersimpan saat edit; data terhapus dari daftar saat dihapus</t>
  </si>
  <si>
    <t xml:space="preserve">Penjadwalan</t>
  </si>
  <si>
    <t xml:space="preserve">TC-JADWAL-001</t>
  </si>
  <si>
    <t xml:space="preserve">Verifikasi wajib pilih Periode Akademik sebelum masuk Penjadwalan</t>
  </si>
  <si>
    <t xml:space="preserve">Admin sudah login</t>
  </si>
  <si>
    <t xml:space="preserve">1. Buka menu Penjadwalan
2. Amati apakah diminta memilih Periode Akademik terlebih dahulu</t>
  </si>
  <si>
    <t xml:space="preserve">Sistem meminta admin memilih Periode Akademik (mis. 2026/2027 - Ganjil) sebelum menampilkan data jadwal, memastikan jadwal antar periode tidak tercampur</t>
  </si>
  <si>
    <t xml:space="preserve">TC-JADWAL-002</t>
  </si>
  <si>
    <t xml:space="preserve">Verifikasi filter 4 Program Studi pada halaman Penjadwalan</t>
  </si>
  <si>
    <t xml:space="preserve">Periode Akademik sudah dipilih</t>
  </si>
  <si>
    <t xml:space="preserve">1. Pilih salah satu dari 4 filter Prodi (TRPL/TRE/TRI/TRIKA)</t>
  </si>
  <si>
    <t xml:space="preserve">Sistem menampilkan jadwal &amp; visualisasi slot hanya untuk Prodi yang dipilih</t>
  </si>
  <si>
    <t xml:space="preserve">TC-JADWAL-003</t>
  </si>
  <si>
    <t xml:space="preserve">Verifikasi visualisasi warna slot jadwal (terpakai vs tersedia)</t>
  </si>
  <si>
    <t xml:space="preserve">Ada minimal 1 jadwal tersimpan pada periode aktif</t>
  </si>
  <si>
    <t xml:space="preserve">1. Buka halaman visualisasi Penjadwalan
2. Amati warna slot yang sudah terisi vs yang masih kosong</t>
  </si>
  <si>
    <t xml:space="preserve">Slot yang sudah terpakai ditampilkan dengan warna pucat/muda; slot yang masih kosong ditampilkan warna merah terang, membantu admin melihat ketersediaan sebelum plotting</t>
  </si>
  <si>
    <t xml:space="preserve">TC-JADWAL-004</t>
  </si>
  <si>
    <t xml:space="preserve">Verifikasi pilihan Mata Kuliah/Dosen/Kelas/Ruangan/Sesi pada form Tambah Jadwal diambil dari Master Data</t>
  </si>
  <si>
    <t xml:space="preserve">Data Kurikulum, Dosen, Kelas, Ruangan, Sesi sudah tersedia untuk periode aktif</t>
  </si>
  <si>
    <t xml:space="preserve">1. Buka form Tambah Jadwal
2. Cek isi masing-masing dropdown (Mata Kuliah, Dosen, Kelas, Ruangan, Sesi)</t>
  </si>
  <si>
    <t xml:space="preserve">Semua dropdown terisi data yang berasal dari Master Data terkait, admin tidak perlu input ulang manual</t>
  </si>
  <si>
    <t xml:space="preserve">TC-JADWAL-005</t>
  </si>
  <si>
    <t xml:space="preserve">Verifikasi input jadwal baru dengan kombinasi valid &amp; tanpa bentrok</t>
  </si>
  <si>
    <t xml:space="preserve">Semua Master Data tersedia dan kombinasi Dosen/Kelas/Hari/Sesi/Ruangan yang akan diinput belum terpakai</t>
  </si>
  <si>
    <t xml:space="preserve">1. Isi Prodi, Mata Kuliah, Dosen, Kelas, Hari, Sesi, Ruang dengan kombinasi valid
2. Klik Simpan</t>
  </si>
  <si>
    <t xml:space="preserve">Jadwal berhasil tersimpan dan langsung tampil pada visualisasi/preview jadwal</t>
  </si>
  <si>
    <t xml:space="preserve">TC-JADWAL-006</t>
  </si>
  <si>
    <t xml:space="preserve">Verifikasi validasi tolak bentrok Dosen</t>
  </si>
  <si>
    <t xml:space="preserve">Dosen X sudah punya jadwal di Hari &amp; Sesi tertentu</t>
  </si>
  <si>
    <t xml:space="preserve">1. Input jadwal baru dengan Dosen X yang sama, Hari &amp; Sesi yang sama
2. Klik Simpan</t>
  </si>
  <si>
    <t xml:space="preserve">Sistem menolak (reject) dan menampilkan pesan error bentrok Dosen</t>
  </si>
  <si>
    <t xml:space="preserve">TC-JADWAL-007</t>
  </si>
  <si>
    <t xml:space="preserve">Verifikasi validasi tolak bentrok Ruangan</t>
  </si>
  <si>
    <t xml:space="preserve">Ruangan Y sudah dipakai jadwal lain di Hari &amp; Sesi tertentu</t>
  </si>
  <si>
    <t xml:space="preserve">1. Input jadwal baru dengan Ruangan Y yang sama, Hari &amp; Sesi yang sama
2. Klik Simpan</t>
  </si>
  <si>
    <t xml:space="preserve">Sistem menolak (reject) dan menampilkan pesan error bentrok Ruangan</t>
  </si>
  <si>
    <t xml:space="preserve">TC-JADWAL-008</t>
  </si>
  <si>
    <t xml:space="preserve">Verifikasi validasi tolak bentrok Kelas/Mahasiswa</t>
  </si>
  <si>
    <t xml:space="preserve">Kelas Z sudah dijadwalkan pada Hari &amp; Sesi tertentu</t>
  </si>
  <si>
    <t xml:space="preserve">1. Input jadwal baru untuk Kelas Z yang sama, Hari &amp; Sesi yang sama (MK berbeda)
2. Klik Simpan</t>
  </si>
  <si>
    <t xml:space="preserve">Sistem menolak (reject) dan menampilkan pesan error bentrok Kelas/Mahasiswa</t>
  </si>
  <si>
    <t xml:space="preserve">TC-JADWAL-009</t>
  </si>
  <si>
    <t xml:space="preserve">Verifikasi re-validasi bentrok saat edit jadwal existing</t>
  </si>
  <si>
    <t xml:space="preserve">Ada jadwal existing yang valid (tidak bentrok)</t>
  </si>
  <si>
    <t xml:space="preserve">1. Edit jadwal existing, ubah Hari/Sesi/Ruangan/Dosen jadi kombinasi yang bentrok dengan jadwal lain
2. Klik Simpan</t>
  </si>
  <si>
    <t xml:space="preserve">Sistem menjalankan ulang validasi bentrok dan menolak perubahan jika menyebabkan konflik</t>
  </si>
  <si>
    <t xml:space="preserve">TC-JADWAL-010</t>
  </si>
  <si>
    <t xml:space="preserve">Verifikasi hapus jadwal mengosongkan slot &amp; update visualisasi</t>
  </si>
  <si>
    <t xml:space="preserve">Ada jadwal existing tersimpan</t>
  </si>
  <si>
    <t xml:space="preserve">1. Pilih jadwal tsb pada daftar
2. Klik Hapus
3. Konfirmasi hapus</t>
  </si>
  <si>
    <t xml:space="preserve">Jadwal terhapus dari daftar dan slot terkait kembali berwarna merah terang (tersedia) pada visualisasi</t>
  </si>
  <si>
    <t xml:space="preserve">TC-JADWAL-011</t>
  </si>
  <si>
    <t xml:space="preserve">Verifikasi dropdown Hari hanya menampilkan Senin-Jumat</t>
  </si>
  <si>
    <t xml:space="preserve">Admin berada di form Tambah Jadwal</t>
  </si>
  <si>
    <t xml:space="preserve">1. Klik dropdown field Hari</t>
  </si>
  <si>
    <t xml:space="preserve">Dropdown hanya menampilkan opsi Senin s.d. Jumat, tidak ada Sabtu/Minggu</t>
  </si>
  <si>
    <t xml:space="preserve">TC-JADWAL-012</t>
  </si>
  <si>
    <t xml:space="preserve">Verifikasi validasi seluruh field wajib diisi sebelum submit Tambah Jadwal</t>
  </si>
  <si>
    <t xml:space="preserve">1. Kosongkan salah satu field wajib (mis. Ruangan)
2. Klik Simpan</t>
  </si>
  <si>
    <t xml:space="preserve">TC-JADWAL-013</t>
  </si>
  <si>
    <t xml:space="preserve">Verifikasi notifikasi sukses setelah jadwal berhasil disimpan</t>
  </si>
  <si>
    <t xml:space="preserve">Admin baru saja submit jadwal valid</t>
  </si>
  <si>
    <t xml:space="preserve">1. Amati tampilan setelah klik Simpan</t>
  </si>
  <si>
    <t xml:space="preserve">Sistem menampilkan notifikasi/alert sukses (toast/pesan konfirmasi) bahwa jadwal berhasil disimpan</t>
  </si>
  <si>
    <t xml:space="preserve">TC-JADWAL-014</t>
  </si>
  <si>
    <t xml:space="preserve">Verifikasi pencarian/filter daftar Jadwal (mis. by Dosen atau Kelas)</t>
  </si>
  <si>
    <t xml:space="preserve">Ada banyak data Jadwal tersimpan</t>
  </si>
  <si>
    <t xml:space="preserve">1. Gunakan fitur pencarian/filter dengan nama Dosen atau Kelas tertentu</t>
  </si>
  <si>
    <t xml:space="preserve">Daftar jadwal yang tampil sesuai kata kunci pencarian (ASUMSI: perlu konfirmasi apakah fitur ini ada di scope UI)</t>
  </si>
  <si>
    <t xml:space="preserve">TC-JADWAL-015</t>
  </si>
  <si>
    <t xml:space="preserve">Verifikasi tampilan state kosong saat belum ada Jadwal di suatu Periode</t>
  </si>
  <si>
    <t xml:space="preserve">Periode Akademik yang dipilih belum punya data Jadwal sama sekali</t>
  </si>
  <si>
    <t xml:space="preserve">1. Buka halaman visualisasi Penjadwalan untuk periode tsb</t>
  </si>
  <si>
    <t xml:space="preserve">Sistem menampilkan pesan/kondisi kosong yang informatif (bukan error/blank), semua slot berwarna merah terang (tersedia)</t>
  </si>
  <si>
    <t xml:space="preserve">TC-JADWAL-016</t>
  </si>
  <si>
    <t xml:space="preserve">Verifikasi dropdown Sesi pada form Jadwal sesuai konteks tipe Kelas</t>
  </si>
  <si>
    <t xml:space="preserve">1. Pilih Kelas bertipe Teori, amati dropdown Sesi
2. Pilih Kelas bertipe Praktikum, amati dropdown Sesi</t>
  </si>
  <si>
    <t xml:space="preserve">Untuk Kelas Teori, dropdown menampilkan Sesi individual 1-5; untuk Kelas Praktikum, dropdown hanya menampilkan paket 'Sesi 1-2'/'Sesi 3-4'</t>
  </si>
  <si>
    <t xml:space="preserve">Laporan</t>
  </si>
  <si>
    <t xml:space="preserve">TC-LAPORAN-001</t>
  </si>
  <si>
    <t xml:space="preserve">Verifikasi wajib pilih Periode Akademik sebelum melihat Hasil</t>
  </si>
  <si>
    <t xml:space="preserve">User/Admin membuka menu Hasil</t>
  </si>
  <si>
    <t xml:space="preserve">1. Buka menu Hasil
2. Amati apakah diminta memilih Periode Akademik terlebih dahulu</t>
  </si>
  <si>
    <t xml:space="preserve">Sistem meminta pemilihan Periode Akademik (mis. 2026/2027 - Ganjil) sebelum menampilkan hasil jadwal</t>
  </si>
  <si>
    <t xml:space="preserve">TC-LAPORAN-002</t>
  </si>
  <si>
    <t xml:space="preserve">Verifikasi tampilan Jadwal Dosen sesuai data aktual</t>
  </si>
  <si>
    <t xml:space="preserve">Periode Akademik dipilih, ada jadwal untuk seorang Dosen</t>
  </si>
  <si>
    <t xml:space="preserve">1. Buka Hasil &gt; Jadwal Dosen
2. Pilih salah satu Dosen</t>
  </si>
  <si>
    <t xml:space="preserve">Sistem menampilkan jadwal dosen tsb per hari (Senin-Jumat) &amp; sesi sesuai data aktual</t>
  </si>
  <si>
    <t xml:space="preserve">TC-LAPORAN-003</t>
  </si>
  <si>
    <t xml:space="preserve">Verifikasi tampilan Jadwal Ruang sesuai data aktual</t>
  </si>
  <si>
    <t xml:space="preserve">Periode Akademik dipilih, ada jadwal yang memakai suatu Ruangan</t>
  </si>
  <si>
    <t xml:space="preserve">1. Buka Hasil &gt; Jadwal Ruang
2. Pilih salah satu Ruangan</t>
  </si>
  <si>
    <t xml:space="preserve">Sistem menampilkan jadwal pemakaian ruangan tsb (MK, Kelas, Hari, Sesi) sesuai data aktual</t>
  </si>
  <si>
    <t xml:space="preserve">TC-LAPORAN-004</t>
  </si>
  <si>
    <t xml:space="preserve">Verifikasi tampilan Jadwal Kelas sesuai data aktual</t>
  </si>
  <si>
    <t xml:space="preserve">Periode Akademik dipilih, ada jadwal untuk suatu Kelas</t>
  </si>
  <si>
    <t xml:space="preserve">1. Buka Hasil &gt; Jadwal Kelas
2. Pilih salah satu Kelas</t>
  </si>
  <si>
    <t xml:space="preserve">Sistem menampilkan seluruh jadwal kelas tsb berdasarkan hari &amp; sesi sesuai data aktual</t>
  </si>
  <si>
    <t xml:space="preserve">TC-LAPORAN-005</t>
  </si>
  <si>
    <t xml:space="preserve">Verifikasi export Excel Jadwal Dosen/Ruang/Kelas sesuai template</t>
  </si>
  <si>
    <t xml:space="preserve">Sudah menampilkan salah satu dari 3 jenis Hasil (Dosen/Ruang/Kelas)</t>
  </si>
  <si>
    <t xml:space="preserve">1. Klik tombol Export Excel</t>
  </si>
  <si>
    <t xml:space="preserve">File Excel terunduh dengan struktur &amp; format sesuai template resmi (ASUMSI: menunggu file template dari Gurveender untuk verifikasi struktur kolom persis)</t>
  </si>
  <si>
    <t xml:space="preserve">TC-LAPORAN-006</t>
  </si>
  <si>
    <t xml:space="preserve">Verifikasi tombol Export hanya muncul jika token valid terdeteksi</t>
  </si>
  <si>
    <t xml:space="preserve">User mengakses halaman Hasil dengan token/sesi yang valid &amp; terdaftar</t>
  </si>
  <si>
    <t xml:space="preserve">1. Login/akses dengan token valid
2. Buka halaman Hasil salah satu jenis jadwal</t>
  </si>
  <si>
    <t xml:space="preserve">Tombol Export terlihat dan dapat digunakan (ASUMSI: perlu konfirmasi ke BE mekanisme validasi token persis - session login biasa atau token terpisah)</t>
  </si>
  <si>
    <t xml:space="preserve">TC-LAPORAN-007</t>
  </si>
  <si>
    <t xml:space="preserve">Verifikasi tombol Export TIDAK muncul untuk akses tanpa token valid (view-only)</t>
  </si>
  <si>
    <t xml:space="preserve">User mengakses halaman Hasil sebagai Guest/tanpa token valid</t>
  </si>
  <si>
    <t xml:space="preserve">1. Akses halaman Hasil tanpa login/token valid</t>
  </si>
  <si>
    <t xml:space="preserve">Tombol Export tidak muncul/disabled; user tetap bisa melihat 3 jenis jadwal secara view-only</t>
  </si>
  <si>
    <t xml:space="preserve">TC-LAPORAN-008</t>
  </si>
  <si>
    <t xml:space="preserve">Verifikasi User (view-only) dapat mengakses 3 jenis Hasil tanpa login</t>
  </si>
  <si>
    <t xml:space="preserve">User belum login</t>
  </si>
  <si>
    <t xml:space="preserve">1. Akses menu Hasil (Jadwal Dosen/Ruang/Kelas) tanpa login</t>
  </si>
  <si>
    <t xml:space="preserve">User dapat melihat ketiga jenis hasil jadwal tsb tanpa perlu login, tanpa opsi edit/hapus/export</t>
  </si>
  <si>
    <t xml:space="preserve">TC-LAPORAN-009</t>
  </si>
  <si>
    <t xml:space="preserve">Verifikasi state kosong pada Hasil saat belum ada Jadwal tersimpan</t>
  </si>
  <si>
    <t xml:space="preserve">Periode Akademik yang dipilih belum punya data Jadwal</t>
  </si>
  <si>
    <t xml:space="preserve">1. Buka Hasil &gt; Jadwal Dosen/Ruang/Kelas untuk periode tsb</t>
  </si>
  <si>
    <t xml:space="preserve">Sistem menampilkan pesan informatif 'belum ada jadwal' (bukan error/halaman blank)</t>
  </si>
  <si>
    <t xml:space="preserve">TC-LAPORAN-010</t>
  </si>
  <si>
    <t xml:space="preserve">Verifikasi file Excel hasil export dapat dibuka tanpa corrupt</t>
  </si>
  <si>
    <t xml:space="preserve">Sudah berhasil export salah satu jenis Hasil</t>
  </si>
  <si>
    <t xml:space="preserve">1. Buka file Excel yang diunduh menggunakan aplikasi spreadsheet</t>
  </si>
  <si>
    <t xml:space="preserve">File terbuka normal tanpa error/corrupt, dan kolom data sesuai dengan yang ditampilkan di sistem</t>
  </si>
  <si>
    <t xml:space="preserve">TC-LAPORAN-011</t>
  </si>
  <si>
    <t xml:space="preserve">Verifikasi konvensi penamaan file Excel hasil export</t>
  </si>
  <si>
    <t xml:space="preserve">1. Amati nama file yang terunduh</t>
  </si>
  <si>
    <t xml:space="preserve">Nama file mengandung informasi yang jelas (mis. jenis laporan, nama Dosen/Ruang/Kelas, periode) (ASUMSI: perlu konfirmasi konvensi penamaan resmi ke tim)</t>
  </si>
  <si>
    <t xml:space="preserve">TC-LAPORAN-012</t>
  </si>
  <si>
    <t xml:space="preserve">Verifikasi export tetap berhasil saat data Jadwal berjumlah besar</t>
  </si>
  <si>
    <t xml:space="preserve">Ada data Jadwal dalam jumlah besar (mis. puluhan/ratusan baris) pada satu periode</t>
  </si>
  <si>
    <t xml:space="preserve">1. Export salah satu jenis Hasil dengan data besar tsb</t>
  </si>
  <si>
    <t xml:space="preserve">Proses export tetap berhasil tanpa timeout/error, seluruh data ter-cover di file Excel (ASUMSI: perlu data uji volume besar dari tim)</t>
  </si>
  <si>
    <t xml:space="preserve">Catatan: Baris di atas adalah test case SIMATKUL v3 (lengkap: functional + validasi field + UI checking + edge case) (Modul Autentikasi, Master Data [termasuk Periode Akademik, Kurikulum, Ruangan, Dosen, Kelas, Sesi], Penjadwalan, Laporan). Baris berwarna kuning menandakan asumsi yang PERLU dikonfirmasi ke tim BE/FE/PM sebelum eksekusi testing (termasuk mekanisme token export &amp; template Excel resmi yang belum diterima). Kolom Priority, Type &amp; Status memakai dropdown. Bisa menambah baris baru sampai baris 300, otomatis terhitung di sheet Recap Test Case &amp; Dashboard.</t>
  </si>
  <si>
    <t xml:space="preserve">TC-API-AUTH-001</t>
  </si>
  <si>
    <t xml:space="preserve">POST /auth/login - kredensial valid</t>
  </si>
  <si>
    <t xml:space="preserve">Endpoint auth login tersedia (ASUMSI path: POST /api/auth/login)</t>
  </si>
  <si>
    <t xml:space="preserve">1. Kirim request POST dengan body {username, password} valid
2. Amati response</t>
  </si>
  <si>
    <t xml:space="preserve">Status 200 OK, response berisi token/session valid (ASUMSI struktur response - perlu kontrak API resmi)</t>
  </si>
  <si>
    <t xml:space="preserve">API</t>
  </si>
  <si>
    <t xml:space="preserve">TC-API-AUTH-002</t>
  </si>
  <si>
    <t xml:space="preserve">POST /auth/login - password salah</t>
  </si>
  <si>
    <t xml:space="preserve">Endpoint auth login tersedia</t>
  </si>
  <si>
    <t xml:space="preserve">1. Kirim request dengan username valid &amp; password salah</t>
  </si>
  <si>
    <t xml:space="preserve">Status 401 Unauthorized, response berisi pesan error, tidak ada token dikembalikan</t>
  </si>
  <si>
    <t xml:space="preserve">TC-API-AUTH-003</t>
  </si>
  <si>
    <t xml:space="preserve">POST /auth/login - username tidak terdaftar</t>
  </si>
  <si>
    <t xml:space="preserve">1. Kirim request dengan username yang tidak ada di database</t>
  </si>
  <si>
    <t xml:space="preserve">Status 401/404 (ASUMSI kode pastinya), tidak ada token dikembalikan</t>
  </si>
  <si>
    <t xml:space="preserve">TC-API-AUTH-004</t>
  </si>
  <si>
    <t xml:space="preserve">POST /auth/login - body request tidak lengkap</t>
  </si>
  <si>
    <t xml:space="preserve">1. Kirim request tanpa field password atau username</t>
  </si>
  <si>
    <t xml:space="preserve">Status 400 Bad Request dengan pesan validasi field wajib</t>
  </si>
  <si>
    <t xml:space="preserve">TC-API-AUTH-005</t>
  </si>
  <si>
    <t xml:space="preserve">Akses endpoint protected tanpa token/Authorization header</t>
  </si>
  <si>
    <t xml:space="preserve">Ada endpoint yang butuh autentikasi (mis. GET /api/periode)</t>
  </si>
  <si>
    <t xml:space="preserve">1. Kirim request ke endpoint protected tanpa header Authorization</t>
  </si>
  <si>
    <t xml:space="preserve">Status 401 Unauthorized, request ditolak</t>
  </si>
  <si>
    <t xml:space="preserve">TC-API-AUTH-006</t>
  </si>
  <si>
    <t xml:space="preserve">Akses endpoint protected dengan token expired/invalid</t>
  </si>
  <si>
    <t xml:space="preserve">Ada token yang sudah expired atau format tidak valid</t>
  </si>
  <si>
    <t xml:space="preserve">1. Kirim request dengan token expired/invalid di header Authorization</t>
  </si>
  <si>
    <t xml:space="preserve">Status 401/403, request ditolak (ASUMSI mekanisme expiry token - perlu konfirmasi BE)</t>
  </si>
  <si>
    <t xml:space="preserve">TC-API-PERIODE-001</t>
  </si>
  <si>
    <t xml:space="preserve">POST /periode - tambah periode valid</t>
  </si>
  <si>
    <t xml:space="preserve">Admin punya token valid</t>
  </si>
  <si>
    <t xml:space="preserve">1. Kirim POST dengan body {awalTahun, semester, deskripsi}
2. Amati response</t>
  </si>
  <si>
    <t xml:space="preserve">Status 201 Created, response berisi data periode baru termasuk akhirTahun ter-generate otomatis</t>
  </si>
  <si>
    <t xml:space="preserve">TC-API-PERIODE-002</t>
  </si>
  <si>
    <t xml:space="preserve">POST /periode - duplikat tahun &amp; semester</t>
  </si>
  <si>
    <t xml:space="preserve">Sudah ada periode dengan tahun &amp; semester yang sama</t>
  </si>
  <si>
    <t xml:space="preserve">1. Kirim POST dengan payload identik ke periode existing</t>
  </si>
  <si>
    <t xml:space="preserve">Status 409 Conflict (ASUMSI kode - perlu konfirmasi rule uniqueness ke BE)</t>
  </si>
  <si>
    <t xml:space="preserve">TC-API-PERIODE-003</t>
  </si>
  <si>
    <t xml:space="preserve">GET /periode - list semua periode</t>
  </si>
  <si>
    <t xml:space="preserve">Admin punya token valid, ada data periode tersimpan</t>
  </si>
  <si>
    <t xml:space="preserve">1. Kirim GET request tanpa parameter</t>
  </si>
  <si>
    <t xml:space="preserve">Status 200 OK, response berupa array periode akademik</t>
  </si>
  <si>
    <t xml:space="preserve">TC-API-PERIODE-004</t>
  </si>
  <si>
    <t xml:space="preserve">DELETE /periode/:id - hapus periode &amp; cascade</t>
  </si>
  <si>
    <t xml:space="preserve">Periode X punya banyak data anak (kurikulum, jadwal, dst)</t>
  </si>
  <si>
    <t xml:space="preserve">1. Kirim DELETE ke /periode/{id}
2. Cek endpoint terkait (kurikulum, jadwal, dll) untuk periode tsb setelah delete</t>
  </si>
  <si>
    <t xml:space="preserve">Status 200/204, dan seluruh data anak yang terkait periode tsb ikut terhapus dari database (verifikasi via GET endpoint lain)</t>
  </si>
  <si>
    <t xml:space="preserve">TC-API-KURIKULUM-001</t>
  </si>
  <si>
    <t xml:space="preserve">POST /kurikulum - tambah data valid</t>
  </si>
  <si>
    <t xml:space="preserve">Periode aktif sudah dipilih, admin punya token valid</t>
  </si>
  <si>
    <t xml:space="preserve">1. Kirim POST dengan body lengkap (prodi, namaMK, kodeMK, semester, sks, tipeKelas, jenisMK, kelompok)</t>
  </si>
  <si>
    <t xml:space="preserve">Status 201 Created, data tersimpan dengan field sesuai yang dikirim</t>
  </si>
  <si>
    <t xml:space="preserve">TC-API-KURIKULUM-002</t>
  </si>
  <si>
    <t xml:space="preserve">POST /kurikulum - Kode MK duplikat</t>
  </si>
  <si>
    <t xml:space="preserve">Sudah ada Kurikulum dengan Kode MK yang sama pada periode yang sama</t>
  </si>
  <si>
    <t xml:space="preserve">1. Kirim POST dengan Kode MK identik</t>
  </si>
  <si>
    <t xml:space="preserve">Status 409/400 (ASUMSI), response berisi pesan Kode MK sudah terdaftar</t>
  </si>
  <si>
    <t xml:space="preserve">TC-API-KURIKULUM-003</t>
  </si>
  <si>
    <t xml:space="preserve">POST /kurikulum - Bobot SKS non-numerik</t>
  </si>
  <si>
    <t xml:space="preserve">1. Kirim POST dengan field sks berisi string bukan angka</t>
  </si>
  <si>
    <t xml:space="preserve">Status 400 Bad Request dengan pesan validasi tipe data</t>
  </si>
  <si>
    <t xml:space="preserve">TC-API-RUANGAN-001</t>
  </si>
  <si>
    <t xml:space="preserve">POST /ruangan - tambah ruangan valid</t>
  </si>
  <si>
    <t xml:space="preserve">1. Kirim POST dengan body {namaRuangan}</t>
  </si>
  <si>
    <t xml:space="preserve">Status 201 Created, data ruangan tersimpan</t>
  </si>
  <si>
    <t xml:space="preserve">TC-API-DOSEN-001</t>
  </si>
  <si>
    <t xml:space="preserve">POST /dosen - tambah dosen valid</t>
  </si>
  <si>
    <t xml:space="preserve">1. Kirim POST dengan body {namaDosen}</t>
  </si>
  <si>
    <t xml:space="preserve">Status 201 Created, data dosen tersimpan tanpa field SKS/jabatan</t>
  </si>
  <si>
    <t xml:space="preserve">TC-API-KELAS-001</t>
  </si>
  <si>
    <t xml:space="preserve">POST /kelas - generate kelas dari jumlah Teori &amp; Praktikum</t>
  </si>
  <si>
    <t xml:space="preserve">Prodi &amp; semester valid, admin punya token valid</t>
  </si>
  <si>
    <t xml:space="preserve">1. Kirim POST dengan body {prodi, semester, jumlahTeori, jumlahPraktikum}</t>
  </si>
  <si>
    <t xml:space="preserve">Status 201 Created, response berisi daftar kelas yang ter-generate (AA, AB, .../A1, A2, ...) beserta relasi parent-child</t>
  </si>
  <si>
    <t xml:space="preserve">TC-API-KELAS-002</t>
  </si>
  <si>
    <t xml:space="preserve">POST /kelas - jumlah kelas 0 atau negatif</t>
  </si>
  <si>
    <t xml:space="preserve">1. Kirim POST dengan jumlahTeori atau jumlahPraktikum = 0 atau negatif</t>
  </si>
  <si>
    <t xml:space="preserve">Status 400 Bad Request dengan pesan validasi jumlah harus bilangan bulat positif</t>
  </si>
  <si>
    <t xml:space="preserve">TC-API-SESI-001</t>
  </si>
  <si>
    <t xml:space="preserve">POST /sesi - tambah sesi dengan jam valid</t>
  </si>
  <si>
    <t xml:space="preserve">1. Kirim POST dengan body {jamMulai, jamBerakhir}</t>
  </si>
  <si>
    <t xml:space="preserve">Status 201 Created, sesi tersimpan</t>
  </si>
  <si>
    <t xml:space="preserve">TC-API-SESI-002</t>
  </si>
  <si>
    <t xml:space="preserve">POST /sesi - jamMulai &gt; jamBerakhir</t>
  </si>
  <si>
    <t xml:space="preserve">1. Kirim POST dengan jamMulai lebih besar dari jamBerakhir</t>
  </si>
  <si>
    <t xml:space="preserve">Status 400 Bad Request dengan pesan validasi rentang waktu tidak valid</t>
  </si>
  <si>
    <t xml:space="preserve">TC-API-JADWAL-001</t>
  </si>
  <si>
    <t xml:space="preserve">POST /jadwal - kombinasi valid tanpa bentrok</t>
  </si>
  <si>
    <t xml:space="preserve">Semua master data terkait tersedia, kombinasi belum terpakai</t>
  </si>
  <si>
    <t xml:space="preserve">1. Kirim POST dengan body {mataKuliah, dosen, kelas, hari, sesi, ruang}</t>
  </si>
  <si>
    <t xml:space="preserve">Status 201 Created, jadwal tersimpan</t>
  </si>
  <si>
    <t xml:space="preserve">TC-API-JADWAL-002</t>
  </si>
  <si>
    <t xml:space="preserve">POST /jadwal - bentrok Dosen</t>
  </si>
  <si>
    <t xml:space="preserve">1. Kirim POST dengan Dosen, Hari, Sesi yang sama dengan jadwal existing</t>
  </si>
  <si>
    <t xml:space="preserve">Status 409 Conflict (ASUMSI kode), response berisi pesan error bentrok Dosen, data TIDAK tersimpan</t>
  </si>
  <si>
    <t xml:space="preserve">TC-API-JADWAL-003</t>
  </si>
  <si>
    <t xml:space="preserve">POST /jadwal - bentrok Ruangan</t>
  </si>
  <si>
    <t xml:space="preserve">Ruangan Y sudah dipakai di Hari &amp; Sesi tertentu</t>
  </si>
  <si>
    <t xml:space="preserve">1. Kirim POST dengan Ruangan, Hari, Sesi yang sama dengan jadwal existing</t>
  </si>
  <si>
    <t xml:space="preserve">Status 409 Conflict, response berisi pesan error bentrok Ruangan, data TIDAK tersimpan</t>
  </si>
  <si>
    <t xml:space="preserve">TC-API-JADWAL-004</t>
  </si>
  <si>
    <t xml:space="preserve">POST /jadwal - bentrok Kelas</t>
  </si>
  <si>
    <t xml:space="preserve">Kelas Z sudah dijadwalkan di Hari &amp; Sesi tertentu</t>
  </si>
  <si>
    <t xml:space="preserve">1. Kirim POST dengan Kelas, Hari, Sesi yang sama dengan jadwal existing (MK berbeda)</t>
  </si>
  <si>
    <t xml:space="preserve">Status 409 Conflict, response berisi pesan error bentrok Kelas, data TIDAK tersimpan</t>
  </si>
  <si>
    <t xml:space="preserve">TC-API-JADWAL-005</t>
  </si>
  <si>
    <t xml:space="preserve">POST /jadwal - kombinasi sesi Praktikum tidak valid (2-3)</t>
  </si>
  <si>
    <t xml:space="preserve">Kelas bertipe Praktikum</t>
  </si>
  <si>
    <t xml:space="preserve">1. Kirim POST dengan sesi kombinasi selain paket 1-2/3-4 (mis. sesi 2 &amp; 3) untuk Kelas Praktikum</t>
  </si>
  <si>
    <t xml:space="preserve">Status 400/409 (ASUMSI), backend menolak meskipun request dikirim langsung (bypass UI), membuktikan validasi ada di server bukan cuma dropdown</t>
  </si>
  <si>
    <t xml:space="preserve">TC-API-JADWAL-006</t>
  </si>
  <si>
    <t xml:space="preserve">PUT /jadwal/:id - edit memicu re-validasi bentrok</t>
  </si>
  <si>
    <t xml:space="preserve">Ada jadwal existing valid</t>
  </si>
  <si>
    <t xml:space="preserve">1. Kirim PUT dengan perubahan Hari/Sesi/Ruangan/Dosen yang menyebabkan bentrok dengan jadwal lain</t>
  </si>
  <si>
    <t xml:space="preserve">Status 409 Conflict, perubahan ditolak, data existing tidak berubah</t>
  </si>
  <si>
    <t xml:space="preserve">TC-API-JADWAL-007</t>
  </si>
  <si>
    <t xml:space="preserve">DELETE /jadwal/:id - hapus jadwal</t>
  </si>
  <si>
    <t xml:space="preserve">1. Kirim DELETE ke /jadwal/{id}</t>
  </si>
  <si>
    <t xml:space="preserve">Status 200/204, jadwal terhapus, slot terkait tersedia kembali untuk GET availability</t>
  </si>
  <si>
    <t xml:space="preserve">TC-API-LAPORAN-001</t>
  </si>
  <si>
    <t xml:space="preserve">GET /laporan/export - dengan token valid</t>
  </si>
  <si>
    <t xml:space="preserve">User punya token valid &amp; terdaftar</t>
  </si>
  <si>
    <t xml:space="preserve">1. Kirim GET ke endpoint export (mis. /laporan/export?type=dosen) dengan token valid di header</t>
  </si>
  <si>
    <t xml:space="preserve">Status 200 OK, response berupa file Excel (content-type sesuai xlsx)</t>
  </si>
  <si>
    <t xml:space="preserve">TC-API-LAPORAN-002</t>
  </si>
  <si>
    <t xml:space="preserve">GET /laporan/export - tanpa token / token tidak terdaftar</t>
  </si>
  <si>
    <t xml:space="preserve">User tidak punya token valid</t>
  </si>
  <si>
    <t xml:space="preserve">1. Kirim GET ke endpoint export tanpa token / token invalid</t>
  </si>
  <si>
    <t xml:space="preserve">Status 401/403 Forbidden, export ditolak (ASUMSI: perlu konfirmasi ke BE mekanisme validasi token export persis)</t>
  </si>
  <si>
    <t xml:space="preserve">TC-API-LAPORAN-003</t>
  </si>
  <si>
    <t xml:space="preserve">GET /laporan/jadwal-dosen - data sesuai periode aktif</t>
  </si>
  <si>
    <t xml:space="preserve">Periode Akademik aktif dipilih, ada data jadwal</t>
  </si>
  <si>
    <t xml:space="preserve">1. Kirim GET ke endpoint jadwal dosen dengan parameter periode &amp; dosen tertentu</t>
  </si>
  <si>
    <t xml:space="preserve">Status 200 OK, response berisi data jadwal dosen yang sesuai dengan periode &amp; dosen yang diminta</t>
  </si>
  <si>
    <t xml:space="preserve">CATATAN PENTING: Seluruh test case di tab ini bersifat ASUMSI/DRAFT karena Kontrak API (task WBS #20) belum selesai/Not Started. Endpoint path, method, struktur request/response, dan kode status HTTP di sini adalah perkiraan berdasarkan flow fungsional yang sudah diketahui, BUKAN dari dokumen resmi BE. Wajib direvisi menyeluruh begitu tim BE membagikan kontrak API resmi (Swagger/Postman Collection/dokumen serupa). Kolom Priority &amp; Status memakai dropdown. Bisa menambah baris baru sampai baris 300.</t>
  </si>
  <si>
    <t xml:space="preserve">Bug ID</t>
  </si>
  <si>
    <t xml:space="preserve">Step</t>
  </si>
  <si>
    <t xml:space="preserve">Actual Result</t>
  </si>
  <si>
    <t xml:space="preserve">Proof</t>
  </si>
  <si>
    <t xml:space="preserve">Catatan: Sheet ini akan diisi saat bug ditemukan selama proses testing berjalan (BE/FE belum mulai development per WBS saat ini). Kolom Priority &amp; Status memakai dropdown. Bisa menambah baris baru sampai baris 300, otomatis terhitung di sheet Recap Bug &amp; Dashboard.</t>
  </si>
  <si>
    <t xml:space="preserve">Test Case &amp; Bug Management Dashboard</t>
  </si>
  <si>
    <t xml:space="preserve">Total Test Case</t>
  </si>
  <si>
    <t xml:space="preserve">Passed</t>
  </si>
  <si>
    <t xml:space="preserve">Failed</t>
  </si>
  <si>
    <t xml:space="preserve">Blocked</t>
  </si>
  <si>
    <t xml:space="preserve">In Progress</t>
  </si>
  <si>
    <t xml:space="preserve">Pass Rate</t>
  </si>
  <si>
    <t xml:space="preserve">Total Bug</t>
  </si>
  <si>
    <t xml:space="preserve">Completed Bug</t>
  </si>
  <si>
    <t xml:space="preserve">Open Bug</t>
  </si>
  <si>
    <t xml:space="preserve">Critical Bug (P00+P0)</t>
  </si>
  <si>
    <t xml:space="preserve">Recap Test Case</t>
  </si>
  <si>
    <t xml:space="preserve">Test Coverage by Module</t>
  </si>
  <si>
    <t xml:space="preserve">Total TC</t>
  </si>
  <si>
    <t xml:space="preserve">% Passed</t>
  </si>
  <si>
    <t xml:space="preserve">TOTAL</t>
  </si>
  <si>
    <t xml:space="preserve">Test Case by Status</t>
  </si>
  <si>
    <t xml:space="preserve">Count</t>
  </si>
  <si>
    <t xml:space="preserve">Test Case by Priority</t>
  </si>
  <si>
    <t xml:space="preserve">Test Case by Type (info tambahan)</t>
  </si>
  <si>
    <t xml:space="preserve">Semua angka di atas dihitung otomatis pakai formula (COUNTIF/COUNTIFS) dari sheet 'Test Case'. Tambah baris baru di 'Test Case' akan otomatis ter-update di sini.</t>
  </si>
  <si>
    <t xml:space="preserve">Recap Bug</t>
  </si>
  <si>
    <t xml:space="preserve">Bug Distribution by Priority</t>
  </si>
  <si>
    <t xml:space="preserve">Bug Distribution by Status</t>
  </si>
  <si>
    <t xml:space="preserve">Not Fixed</t>
  </si>
  <si>
    <t xml:space="preserve">Ready to Test</t>
  </si>
  <si>
    <t xml:space="preserve">Completed</t>
  </si>
  <si>
    <t xml:space="preserve">Angka dihitung otomatis dari sheet 'Bug Report'.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</si>
</sst>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11"/>
      <name val="Calibri"/>
      <family val="0"/>
      <charset val="1"/>
    </font>
    <font>
      <b val="true"/>
      <i val="true"/>
      <sz val="11"/>
      <color rgb="FFC00000"/>
      <name val="Calibri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CE6F1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FF0000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FF00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92D050"/>
        </patternFill>
      </fill>
    </dxf>
    <dxf>
      <font>
        <name val="Arial"/>
        <charset val="1"/>
        <family val="0"/>
        <b val="1"/>
        <color rgb="FF404040"/>
        <sz val="1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C65911"/>
        <sz val="1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1F4E78"/>
        <sz val="10"/>
      </font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D9D9D9"/>
      <rgbColor rgb="FFC6EFCE"/>
      <rgbColor rgb="FFFFEB9C"/>
      <rgbColor rgb="FF99CCFF"/>
      <rgbColor rgb="FFFCE4D6"/>
      <rgbColor rgb="FFCC99FF"/>
      <rgbColor rgb="FFFFC7CE"/>
      <rgbColor rgb="FF2E75B6"/>
      <rgbColor rgb="FF33CCCC"/>
      <rgbColor rgb="FF92D050"/>
      <rgbColor rgb="FFFFC000"/>
      <rgbColor rgb="FFFF9900"/>
      <rgbColor rgb="FFC65911"/>
      <rgbColor rgb="FF4F81BD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Test Case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9d9d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eb9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c7c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6efce"/>
              </a:solidFill>
              <a:ln w="0">
                <a:noFill/>
              </a:ln>
            </c:spPr>
          </c:dPt>
          <c:dPt>
            <c:idx val="4"/>
            <c:spPr>
              <a:solidFill>
                <a:srgbClr val="fce4d6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'Recap Test Case'!$A$13:$A$17</c:f>
              <c:strCache>
                <c:ptCount val="5"/>
                <c:pt idx="0">
                  <c:v>Not Tested</c:v>
                </c:pt>
                <c:pt idx="1">
                  <c:v>In Progress</c:v>
                </c:pt>
                <c:pt idx="2">
                  <c:v>Failed</c:v>
                </c:pt>
                <c:pt idx="3">
                  <c:v>Passed</c:v>
                </c:pt>
                <c:pt idx="4">
                  <c:v>Blocked</c:v>
                </c:pt>
              </c:strCache>
            </c:strRef>
          </c:cat>
          <c:val>
            <c:numRef>
              <c:f>'Recap Test Case'!$B$13:$B$17</c:f>
              <c:numCache>
                <c:formatCode>General</c:formatCode>
                <c:ptCount val="5"/>
                <c:pt idx="0">
                  <c:v>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Test Case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ff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92d050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'Recap Test Case'!$A$21:$A$25</c:f>
              <c:strCache>
                <c:ptCount val="5"/>
                <c:pt idx="0">
                  <c:v>P00</c:v>
                </c:pt>
                <c:pt idx="1">
                  <c:v>P0</c:v>
                </c:pt>
                <c:pt idx="2">
                  <c:v>P1</c:v>
                </c:pt>
                <c:pt idx="3">
                  <c:v>P2</c:v>
                </c:pt>
                <c:pt idx="4">
                  <c:v>P3</c:v>
                </c:pt>
              </c:strCache>
            </c:strRef>
          </c:cat>
          <c:val>
            <c:numRef>
              <c:f>'Recap Test Case'!$B$21:$B$25</c:f>
              <c:numCache>
                <c:formatCode>General</c:formatCode>
                <c:ptCount val="5"/>
                <c:pt idx="0">
                  <c:v>5</c:v>
                </c:pt>
                <c:pt idx="1">
                  <c:v>11</c:v>
                </c:pt>
                <c:pt idx="2">
                  <c:v>39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Test Coverage by Module (Total TC)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00000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'Recap Test Case'!$A$5:$A$8</c:f>
              <c:strCache>
                <c:ptCount val="4"/>
                <c:pt idx="0">
                  <c:v>Autentikasi</c:v>
                </c:pt>
                <c:pt idx="1">
                  <c:v>Master Data</c:v>
                </c:pt>
                <c:pt idx="2">
                  <c:v>Penjadwalan</c:v>
                </c:pt>
                <c:pt idx="3">
                  <c:v>Laporan</c:v>
                </c:pt>
              </c:strCache>
            </c:strRef>
          </c:cat>
          <c:val>
            <c:numRef>
              <c:f>'Recap Test Case'!$B$5:$B$8</c:f>
              <c:numCache>
                <c:formatCode>General</c:formatCode>
                <c:ptCount val="4"/>
                <c:pt idx="0">
                  <c:v>10</c:v>
                </c:pt>
                <c:pt idx="1">
                  <c:v>46</c:v>
                </c:pt>
                <c:pt idx="2">
                  <c:v>16</c:v>
                </c:pt>
                <c:pt idx="3">
                  <c:v>12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Bug Distribution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ff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92d050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'Recap Bug'!$A$5:$A$9</c:f>
              <c:strCache>
                <c:ptCount val="5"/>
                <c:pt idx="0">
                  <c:v>P00</c:v>
                </c:pt>
                <c:pt idx="1">
                  <c:v>P0</c:v>
                </c:pt>
                <c:pt idx="2">
                  <c:v>P1</c:v>
                </c:pt>
                <c:pt idx="3">
                  <c:v>P2</c:v>
                </c:pt>
                <c:pt idx="4">
                  <c:v>P3</c:v>
                </c:pt>
              </c:strCache>
            </c:strRef>
          </c:cat>
          <c:val>
            <c:numRef>
              <c:f>'Recap Bug'!$B$5:$B$9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Bug Distribution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fc7c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eb9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ce4d6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4"/>
            <c:spPr>
              <a:solidFill>
                <a:srgbClr val="c6efce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'Recap Bug'!$A$13:$A$17</c:f>
              <c:strCache>
                <c:ptCount val="5"/>
                <c:pt idx="0">
                  <c:v>Not Fixed</c:v>
                </c:pt>
                <c:pt idx="1">
                  <c:v>In Progress</c:v>
                </c:pt>
                <c:pt idx="2">
                  <c:v>Blocked</c:v>
                </c:pt>
                <c:pt idx="3">
                  <c:v>Ready to Test</c:v>
                </c:pt>
                <c:pt idx="4">
                  <c:v>Completed</c:v>
                </c:pt>
              </c:strCache>
            </c:strRef>
          </c:cat>
          <c:val>
            <c:numRef>
              <c:f>'Recap Bug'!$B$13:$B$17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7</xdr:col>
      <xdr:colOff>109800</xdr:colOff>
      <xdr:row>26</xdr:row>
      <xdr:rowOff>104040</xdr:rowOff>
    </xdr:to>
    <xdr:graphicFrame>
      <xdr:nvGraphicFramePr>
        <xdr:cNvPr id="0" name="Chart 1"/>
        <xdr:cNvGraphicFramePr/>
      </xdr:nvGraphicFramePr>
      <xdr:xfrm>
        <a:off x="0" y="2457360"/>
        <a:ext cx="5323680" cy="339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16</xdr:col>
      <xdr:colOff>109440</xdr:colOff>
      <xdr:row>26</xdr:row>
      <xdr:rowOff>104040</xdr:rowOff>
    </xdr:to>
    <xdr:graphicFrame>
      <xdr:nvGraphicFramePr>
        <xdr:cNvPr id="1" name="Chart 2"/>
        <xdr:cNvGraphicFramePr/>
      </xdr:nvGraphicFramePr>
      <xdr:xfrm>
        <a:off x="6703560" y="2457360"/>
        <a:ext cx="5323680" cy="339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109800</xdr:colOff>
      <xdr:row>44</xdr:row>
      <xdr:rowOff>199440</xdr:rowOff>
    </xdr:to>
    <xdr:graphicFrame>
      <xdr:nvGraphicFramePr>
        <xdr:cNvPr id="2" name="Chart 3"/>
        <xdr:cNvGraphicFramePr/>
      </xdr:nvGraphicFramePr>
      <xdr:xfrm>
        <a:off x="0" y="6153120"/>
        <a:ext cx="5323680" cy="339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28</xdr:row>
      <xdr:rowOff>0</xdr:rowOff>
    </xdr:from>
    <xdr:to>
      <xdr:col>16</xdr:col>
      <xdr:colOff>109440</xdr:colOff>
      <xdr:row>44</xdr:row>
      <xdr:rowOff>199440</xdr:rowOff>
    </xdr:to>
    <xdr:graphicFrame>
      <xdr:nvGraphicFramePr>
        <xdr:cNvPr id="3" name="Chart 4"/>
        <xdr:cNvGraphicFramePr/>
      </xdr:nvGraphicFramePr>
      <xdr:xfrm>
        <a:off x="6703560" y="6153120"/>
        <a:ext cx="5323680" cy="339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0</xdr:rowOff>
    </xdr:from>
    <xdr:to>
      <xdr:col>7</xdr:col>
      <xdr:colOff>109800</xdr:colOff>
      <xdr:row>63</xdr:row>
      <xdr:rowOff>199440</xdr:rowOff>
    </xdr:to>
    <xdr:graphicFrame>
      <xdr:nvGraphicFramePr>
        <xdr:cNvPr id="4" name="Chart 5"/>
        <xdr:cNvGraphicFramePr/>
      </xdr:nvGraphicFramePr>
      <xdr:xfrm>
        <a:off x="0" y="9953640"/>
        <a:ext cx="5323680" cy="339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I9" headerRowCount="1" totalsRowCount="0" totalsRowShown="0">
  <tableColumns count="9">
    <tableColumn id="1" name="No"/>
    <tableColumn id="2" name="Bug ID"/>
    <tableColumn id="3" name="Test Case ID"/>
    <tableColumn id="4" name="Step"/>
    <tableColumn id="5" name="Priority"/>
    <tableColumn id="6" name="Expected Result"/>
    <tableColumn id="7" name="Actual Result"/>
    <tableColumn id="8" name="Proof"/>
    <tableColumn id="9" name="Status"/>
  </tableColumns>
</table>
</file>

<file path=xl/tables/table2.xml><?xml version="1.0" encoding="utf-8"?>
<table xmlns="http://schemas.openxmlformats.org/spreadsheetml/2006/main" id="2" name="Test_Case" displayName="Test_Case" ref="A1:K17" headerRowCount="1" totalsRowCount="0" totalsRowShown="0">
  <tableColumns count="11">
    <tableColumn id="1" name="No"/>
    <tableColumn id="2" name="Module"/>
    <tableColumn id="3" name="Test Case ID"/>
    <tableColumn id="4" name="Test Case Name"/>
    <tableColumn id="5" name="Priority"/>
    <tableColumn id="6" name="Precondition"/>
    <tableColumn id="7" name="Test Step"/>
    <tableColumn id="8" name="Expected Result"/>
    <tableColumn id="9" name="Type"/>
    <tableColumn id="10" name="Status"/>
    <tableColumn id="11" name="Test Proof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7.29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12.86"/>
    <col collapsed="false" customWidth="true" hidden="false" outlineLevel="0" max="6" min="6" style="1" width="30.14"/>
    <col collapsed="false" customWidth="true" hidden="false" outlineLevel="0" max="7" min="7" style="1" width="42"/>
    <col collapsed="false" customWidth="true" hidden="false" outlineLevel="0" max="8" min="8" style="1" width="34"/>
    <col collapsed="false" customWidth="true" hidden="false" outlineLevel="0" max="9" min="9" style="1" width="14.71"/>
    <col collapsed="false" customWidth="true" hidden="false" outlineLevel="0" max="10" min="10" style="1" width="16.43"/>
    <col collapsed="false" customWidth="true" hidden="false" outlineLevel="0" max="11" min="11" style="1" width="22"/>
    <col collapsed="false" customWidth="true" hidden="false" outlineLevel="0" max="26" min="12" style="1" width="8.7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60" hidden="false" customHeight="true" outlineLevel="0" collapsed="false">
      <c r="A2" s="3" t="n">
        <v>1</v>
      </c>
      <c r="B2" s="3" t="s">
        <v>11</v>
      </c>
      <c r="C2" s="4" t="s">
        <v>12</v>
      </c>
      <c r="D2" s="5" t="s">
        <v>13</v>
      </c>
      <c r="E2" s="3" t="s">
        <v>14</v>
      </c>
      <c r="F2" s="5" t="s">
        <v>15</v>
      </c>
      <c r="G2" s="5" t="s">
        <v>16</v>
      </c>
      <c r="H2" s="5" t="s">
        <v>17</v>
      </c>
      <c r="I2" s="3" t="s">
        <v>18</v>
      </c>
      <c r="J2" s="3" t="s">
        <v>19</v>
      </c>
      <c r="K2" s="5" t="s">
        <v>20</v>
      </c>
    </row>
    <row r="3" customFormat="false" ht="60" hidden="false" customHeight="true" outlineLevel="0" collapsed="false">
      <c r="A3" s="3" t="n">
        <v>2</v>
      </c>
      <c r="B3" s="3" t="s">
        <v>11</v>
      </c>
      <c r="C3" s="4" t="s">
        <v>21</v>
      </c>
      <c r="D3" s="5" t="s">
        <v>22</v>
      </c>
      <c r="E3" s="3" t="s">
        <v>14</v>
      </c>
      <c r="F3" s="5" t="s">
        <v>23</v>
      </c>
      <c r="G3" s="5" t="s">
        <v>24</v>
      </c>
      <c r="H3" s="5" t="s">
        <v>25</v>
      </c>
      <c r="I3" s="3" t="s">
        <v>26</v>
      </c>
      <c r="J3" s="3" t="s">
        <v>19</v>
      </c>
      <c r="K3" s="5" t="s">
        <v>20</v>
      </c>
    </row>
    <row r="4" customFormat="false" ht="60" hidden="false" customHeight="true" outlineLevel="0" collapsed="false">
      <c r="A4" s="3" t="n">
        <v>3</v>
      </c>
      <c r="B4" s="3" t="s">
        <v>11</v>
      </c>
      <c r="C4" s="4" t="s">
        <v>27</v>
      </c>
      <c r="D4" s="5" t="s">
        <v>28</v>
      </c>
      <c r="E4" s="3" t="s">
        <v>14</v>
      </c>
      <c r="F4" s="5" t="s">
        <v>23</v>
      </c>
      <c r="G4" s="5" t="s">
        <v>29</v>
      </c>
      <c r="H4" s="5" t="s">
        <v>30</v>
      </c>
      <c r="I4" s="3" t="s">
        <v>26</v>
      </c>
      <c r="J4" s="3" t="s">
        <v>19</v>
      </c>
      <c r="K4" s="5" t="s">
        <v>20</v>
      </c>
    </row>
    <row r="5" customFormat="false" ht="60" hidden="false" customHeight="true" outlineLevel="0" collapsed="false">
      <c r="A5" s="3" t="n">
        <v>4</v>
      </c>
      <c r="B5" s="3" t="s">
        <v>11</v>
      </c>
      <c r="C5" s="4" t="s">
        <v>31</v>
      </c>
      <c r="D5" s="5" t="s">
        <v>32</v>
      </c>
      <c r="E5" s="3" t="s">
        <v>33</v>
      </c>
      <c r="F5" s="5" t="s">
        <v>23</v>
      </c>
      <c r="G5" s="5" t="s">
        <v>34</v>
      </c>
      <c r="H5" s="5" t="s">
        <v>35</v>
      </c>
      <c r="I5" s="3" t="s">
        <v>26</v>
      </c>
      <c r="J5" s="3" t="s">
        <v>19</v>
      </c>
      <c r="K5" s="5" t="s">
        <v>20</v>
      </c>
    </row>
    <row r="6" customFormat="false" ht="60" hidden="false" customHeight="true" outlineLevel="0" collapsed="false">
      <c r="A6" s="6" t="n">
        <v>5</v>
      </c>
      <c r="B6" s="6" t="s">
        <v>11</v>
      </c>
      <c r="C6" s="7" t="s">
        <v>36</v>
      </c>
      <c r="D6" s="8" t="s">
        <v>37</v>
      </c>
      <c r="E6" s="6" t="s">
        <v>38</v>
      </c>
      <c r="F6" s="8" t="s">
        <v>39</v>
      </c>
      <c r="G6" s="8" t="s">
        <v>40</v>
      </c>
      <c r="H6" s="8" t="s">
        <v>41</v>
      </c>
      <c r="I6" s="6" t="s">
        <v>18</v>
      </c>
      <c r="J6" s="6" t="s">
        <v>19</v>
      </c>
      <c r="K6" s="8" t="s">
        <v>20</v>
      </c>
    </row>
    <row r="7" customFormat="false" ht="60" hidden="false" customHeight="true" outlineLevel="0" collapsed="false">
      <c r="A7" s="6" t="n">
        <v>6</v>
      </c>
      <c r="B7" s="6" t="s">
        <v>11</v>
      </c>
      <c r="C7" s="7" t="s">
        <v>42</v>
      </c>
      <c r="D7" s="8" t="s">
        <v>43</v>
      </c>
      <c r="E7" s="6" t="s">
        <v>44</v>
      </c>
      <c r="F7" s="8" t="s">
        <v>23</v>
      </c>
      <c r="G7" s="8" t="s">
        <v>45</v>
      </c>
      <c r="H7" s="8" t="s">
        <v>46</v>
      </c>
      <c r="I7" s="6" t="s">
        <v>18</v>
      </c>
      <c r="J7" s="6" t="s">
        <v>19</v>
      </c>
      <c r="K7" s="8" t="s">
        <v>20</v>
      </c>
    </row>
    <row r="8" customFormat="false" ht="60" hidden="false" customHeight="true" outlineLevel="0" collapsed="false">
      <c r="A8" s="3" t="n">
        <v>7</v>
      </c>
      <c r="B8" s="3" t="s">
        <v>11</v>
      </c>
      <c r="C8" s="4" t="s">
        <v>47</v>
      </c>
      <c r="D8" s="5" t="s">
        <v>48</v>
      </c>
      <c r="E8" s="3" t="s">
        <v>33</v>
      </c>
      <c r="F8" s="5" t="s">
        <v>23</v>
      </c>
      <c r="G8" s="5" t="s">
        <v>49</v>
      </c>
      <c r="H8" s="5" t="s">
        <v>50</v>
      </c>
      <c r="I8" s="3" t="s">
        <v>26</v>
      </c>
      <c r="J8" s="3" t="s">
        <v>19</v>
      </c>
      <c r="K8" s="5" t="s">
        <v>20</v>
      </c>
    </row>
    <row r="9" customFormat="false" ht="60" hidden="false" customHeight="true" outlineLevel="0" collapsed="false">
      <c r="A9" s="3" t="n">
        <v>8</v>
      </c>
      <c r="B9" s="3" t="s">
        <v>11</v>
      </c>
      <c r="C9" s="4" t="s">
        <v>51</v>
      </c>
      <c r="D9" s="5" t="s">
        <v>52</v>
      </c>
      <c r="E9" s="3" t="s">
        <v>14</v>
      </c>
      <c r="F9" s="5" t="s">
        <v>53</v>
      </c>
      <c r="G9" s="5" t="s">
        <v>54</v>
      </c>
      <c r="H9" s="5" t="s">
        <v>55</v>
      </c>
      <c r="I9" s="3" t="s">
        <v>18</v>
      </c>
      <c r="J9" s="3" t="s">
        <v>19</v>
      </c>
      <c r="K9" s="5" t="s">
        <v>20</v>
      </c>
    </row>
    <row r="10" customFormat="false" ht="60" hidden="false" customHeight="true" outlineLevel="0" collapsed="false">
      <c r="A10" s="6" t="n">
        <v>9</v>
      </c>
      <c r="B10" s="6" t="s">
        <v>11</v>
      </c>
      <c r="C10" s="7" t="s">
        <v>56</v>
      </c>
      <c r="D10" s="8" t="s">
        <v>57</v>
      </c>
      <c r="E10" s="6" t="s">
        <v>14</v>
      </c>
      <c r="F10" s="8" t="s">
        <v>58</v>
      </c>
      <c r="G10" s="8" t="s">
        <v>59</v>
      </c>
      <c r="H10" s="8" t="s">
        <v>60</v>
      </c>
      <c r="I10" s="6" t="s">
        <v>18</v>
      </c>
      <c r="J10" s="6" t="s">
        <v>19</v>
      </c>
      <c r="K10" s="8" t="s">
        <v>20</v>
      </c>
    </row>
    <row r="11" customFormat="false" ht="60" hidden="false" customHeight="true" outlineLevel="0" collapsed="false">
      <c r="A11" s="6" t="n">
        <v>10</v>
      </c>
      <c r="B11" s="6" t="s">
        <v>11</v>
      </c>
      <c r="C11" s="7" t="s">
        <v>61</v>
      </c>
      <c r="D11" s="8" t="s">
        <v>62</v>
      </c>
      <c r="E11" s="6" t="s">
        <v>44</v>
      </c>
      <c r="F11" s="8" t="s">
        <v>63</v>
      </c>
      <c r="G11" s="8" t="s">
        <v>64</v>
      </c>
      <c r="H11" s="8" t="s">
        <v>65</v>
      </c>
      <c r="I11" s="6" t="s">
        <v>18</v>
      </c>
      <c r="J11" s="6" t="s">
        <v>19</v>
      </c>
      <c r="K11" s="8" t="s">
        <v>20</v>
      </c>
    </row>
    <row r="12" customFormat="false" ht="60" hidden="false" customHeight="true" outlineLevel="0" collapsed="false">
      <c r="A12" s="3" t="n">
        <v>11</v>
      </c>
      <c r="B12" s="3" t="s">
        <v>66</v>
      </c>
      <c r="C12" s="4" t="s">
        <v>67</v>
      </c>
      <c r="D12" s="5" t="s">
        <v>68</v>
      </c>
      <c r="E12" s="3" t="s">
        <v>14</v>
      </c>
      <c r="F12" s="5" t="s">
        <v>69</v>
      </c>
      <c r="G12" s="5" t="s">
        <v>70</v>
      </c>
      <c r="H12" s="5" t="s">
        <v>71</v>
      </c>
      <c r="I12" s="3" t="s">
        <v>18</v>
      </c>
      <c r="J12" s="3" t="s">
        <v>19</v>
      </c>
      <c r="K12" s="5" t="s">
        <v>20</v>
      </c>
    </row>
    <row r="13" customFormat="false" ht="60" hidden="false" customHeight="true" outlineLevel="0" collapsed="false">
      <c r="A13" s="3" t="n">
        <v>12</v>
      </c>
      <c r="B13" s="3" t="s">
        <v>66</v>
      </c>
      <c r="C13" s="4" t="s">
        <v>72</v>
      </c>
      <c r="D13" s="5" t="s">
        <v>73</v>
      </c>
      <c r="E13" s="3" t="s">
        <v>38</v>
      </c>
      <c r="F13" s="5" t="s">
        <v>74</v>
      </c>
      <c r="G13" s="5" t="s">
        <v>75</v>
      </c>
      <c r="H13" s="5" t="s">
        <v>76</v>
      </c>
      <c r="I13" s="3" t="s">
        <v>18</v>
      </c>
      <c r="J13" s="3" t="s">
        <v>19</v>
      </c>
      <c r="K13" s="5" t="s">
        <v>20</v>
      </c>
    </row>
    <row r="14" customFormat="false" ht="60" hidden="false" customHeight="true" outlineLevel="0" collapsed="false">
      <c r="A14" s="3" t="n">
        <v>13</v>
      </c>
      <c r="B14" s="3" t="s">
        <v>66</v>
      </c>
      <c r="C14" s="4" t="s">
        <v>77</v>
      </c>
      <c r="D14" s="5" t="s">
        <v>78</v>
      </c>
      <c r="E14" s="3" t="s">
        <v>14</v>
      </c>
      <c r="F14" s="5" t="s">
        <v>79</v>
      </c>
      <c r="G14" s="5" t="s">
        <v>80</v>
      </c>
      <c r="H14" s="5" t="s">
        <v>81</v>
      </c>
      <c r="I14" s="3" t="s">
        <v>26</v>
      </c>
      <c r="J14" s="3" t="s">
        <v>19</v>
      </c>
      <c r="K14" s="5" t="s">
        <v>20</v>
      </c>
    </row>
    <row r="15" customFormat="false" ht="60" hidden="false" customHeight="true" outlineLevel="0" collapsed="false">
      <c r="A15" s="3" t="n">
        <v>14</v>
      </c>
      <c r="B15" s="3" t="s">
        <v>66</v>
      </c>
      <c r="C15" s="4" t="s">
        <v>82</v>
      </c>
      <c r="D15" s="5" t="s">
        <v>83</v>
      </c>
      <c r="E15" s="3" t="s">
        <v>33</v>
      </c>
      <c r="F15" s="5" t="s">
        <v>79</v>
      </c>
      <c r="G15" s="5" t="s">
        <v>84</v>
      </c>
      <c r="H15" s="5" t="s">
        <v>85</v>
      </c>
      <c r="I15" s="3" t="s">
        <v>18</v>
      </c>
      <c r="J15" s="3" t="s">
        <v>19</v>
      </c>
      <c r="K15" s="5" t="s">
        <v>20</v>
      </c>
    </row>
    <row r="16" customFormat="false" ht="60" hidden="false" customHeight="true" outlineLevel="0" collapsed="false">
      <c r="A16" s="3" t="n">
        <v>15</v>
      </c>
      <c r="B16" s="3" t="s">
        <v>66</v>
      </c>
      <c r="C16" s="4" t="s">
        <v>86</v>
      </c>
      <c r="D16" s="5" t="s">
        <v>87</v>
      </c>
      <c r="E16" s="3" t="s">
        <v>14</v>
      </c>
      <c r="F16" s="5" t="s">
        <v>88</v>
      </c>
      <c r="G16" s="5" t="s">
        <v>89</v>
      </c>
      <c r="H16" s="5" t="s">
        <v>90</v>
      </c>
      <c r="I16" s="3" t="s">
        <v>18</v>
      </c>
      <c r="J16" s="3" t="s">
        <v>19</v>
      </c>
      <c r="K16" s="5" t="s">
        <v>20</v>
      </c>
    </row>
    <row r="17" customFormat="false" ht="60" hidden="false" customHeight="true" outlineLevel="0" collapsed="false">
      <c r="A17" s="3" t="n">
        <v>16</v>
      </c>
      <c r="B17" s="3" t="s">
        <v>66</v>
      </c>
      <c r="C17" s="4" t="s">
        <v>91</v>
      </c>
      <c r="D17" s="5" t="s">
        <v>92</v>
      </c>
      <c r="E17" s="3" t="s">
        <v>33</v>
      </c>
      <c r="F17" s="5" t="s">
        <v>93</v>
      </c>
      <c r="G17" s="5" t="s">
        <v>94</v>
      </c>
      <c r="H17" s="5" t="s">
        <v>95</v>
      </c>
      <c r="I17" s="3" t="s">
        <v>18</v>
      </c>
      <c r="J17" s="3" t="s">
        <v>19</v>
      </c>
      <c r="K17" s="5" t="s">
        <v>20</v>
      </c>
    </row>
    <row r="18" customFormat="false" ht="60" hidden="false" customHeight="true" outlineLevel="0" collapsed="false">
      <c r="A18" s="3" t="n">
        <v>17</v>
      </c>
      <c r="B18" s="3" t="s">
        <v>66</v>
      </c>
      <c r="C18" s="4" t="s">
        <v>96</v>
      </c>
      <c r="D18" s="5" t="s">
        <v>97</v>
      </c>
      <c r="E18" s="3" t="s">
        <v>14</v>
      </c>
      <c r="F18" s="5" t="s">
        <v>98</v>
      </c>
      <c r="G18" s="5" t="s">
        <v>99</v>
      </c>
      <c r="H18" s="5" t="s">
        <v>100</v>
      </c>
      <c r="I18" s="3" t="s">
        <v>18</v>
      </c>
      <c r="J18" s="3" t="s">
        <v>19</v>
      </c>
      <c r="K18" s="5" t="s">
        <v>20</v>
      </c>
    </row>
    <row r="19" customFormat="false" ht="60" hidden="false" customHeight="true" outlineLevel="0" collapsed="false">
      <c r="A19" s="3" t="n">
        <v>18</v>
      </c>
      <c r="B19" s="3" t="s">
        <v>66</v>
      </c>
      <c r="C19" s="4" t="s">
        <v>101</v>
      </c>
      <c r="D19" s="5" t="s">
        <v>102</v>
      </c>
      <c r="E19" s="3" t="s">
        <v>103</v>
      </c>
      <c r="F19" s="5" t="s">
        <v>104</v>
      </c>
      <c r="G19" s="5" t="s">
        <v>105</v>
      </c>
      <c r="H19" s="5" t="s">
        <v>106</v>
      </c>
      <c r="I19" s="3" t="s">
        <v>18</v>
      </c>
      <c r="J19" s="3" t="s">
        <v>19</v>
      </c>
      <c r="K19" s="5" t="s">
        <v>20</v>
      </c>
    </row>
    <row r="20" customFormat="false" ht="60" hidden="false" customHeight="true" outlineLevel="0" collapsed="false">
      <c r="A20" s="3" t="n">
        <v>19</v>
      </c>
      <c r="B20" s="3" t="s">
        <v>66</v>
      </c>
      <c r="C20" s="4" t="s">
        <v>107</v>
      </c>
      <c r="D20" s="5" t="s">
        <v>108</v>
      </c>
      <c r="E20" s="3" t="s">
        <v>14</v>
      </c>
      <c r="F20" s="5" t="s">
        <v>109</v>
      </c>
      <c r="G20" s="5" t="s">
        <v>110</v>
      </c>
      <c r="H20" s="5" t="s">
        <v>111</v>
      </c>
      <c r="I20" s="3" t="s">
        <v>18</v>
      </c>
      <c r="J20" s="3" t="s">
        <v>19</v>
      </c>
      <c r="K20" s="5" t="s">
        <v>20</v>
      </c>
    </row>
    <row r="21" customFormat="false" ht="60" hidden="false" customHeight="true" outlineLevel="0" collapsed="false">
      <c r="A21" s="3" t="n">
        <v>20</v>
      </c>
      <c r="B21" s="3" t="s">
        <v>66</v>
      </c>
      <c r="C21" s="4" t="s">
        <v>112</v>
      </c>
      <c r="D21" s="5" t="s">
        <v>113</v>
      </c>
      <c r="E21" s="3" t="s">
        <v>33</v>
      </c>
      <c r="F21" s="5" t="s">
        <v>79</v>
      </c>
      <c r="G21" s="5" t="s">
        <v>114</v>
      </c>
      <c r="H21" s="5" t="s">
        <v>115</v>
      </c>
      <c r="I21" s="3" t="s">
        <v>26</v>
      </c>
      <c r="J21" s="3" t="s">
        <v>19</v>
      </c>
      <c r="K21" s="5" t="s">
        <v>20</v>
      </c>
    </row>
    <row r="22" customFormat="false" ht="60" hidden="false" customHeight="true" outlineLevel="0" collapsed="false">
      <c r="A22" s="6" t="n">
        <v>21</v>
      </c>
      <c r="B22" s="6" t="s">
        <v>66</v>
      </c>
      <c r="C22" s="7" t="s">
        <v>116</v>
      </c>
      <c r="D22" s="8" t="s">
        <v>117</v>
      </c>
      <c r="E22" s="6" t="s">
        <v>14</v>
      </c>
      <c r="F22" s="8" t="s">
        <v>118</v>
      </c>
      <c r="G22" s="8" t="s">
        <v>119</v>
      </c>
      <c r="H22" s="8" t="s">
        <v>120</v>
      </c>
      <c r="I22" s="6" t="s">
        <v>18</v>
      </c>
      <c r="J22" s="6" t="s">
        <v>19</v>
      </c>
      <c r="K22" s="8" t="s">
        <v>20</v>
      </c>
    </row>
    <row r="23" customFormat="false" ht="60" hidden="false" customHeight="true" outlineLevel="0" collapsed="false">
      <c r="A23" s="3" t="n">
        <v>22</v>
      </c>
      <c r="B23" s="3" t="s">
        <v>66</v>
      </c>
      <c r="C23" s="4" t="s">
        <v>121</v>
      </c>
      <c r="D23" s="5" t="s">
        <v>122</v>
      </c>
      <c r="E23" s="3" t="s">
        <v>14</v>
      </c>
      <c r="F23" s="5" t="s">
        <v>123</v>
      </c>
      <c r="G23" s="5" t="s">
        <v>124</v>
      </c>
      <c r="H23" s="5" t="s">
        <v>125</v>
      </c>
      <c r="I23" s="3" t="s">
        <v>18</v>
      </c>
      <c r="J23" s="3" t="s">
        <v>19</v>
      </c>
      <c r="K23" s="5" t="s">
        <v>20</v>
      </c>
    </row>
    <row r="24" customFormat="false" ht="60" hidden="false" customHeight="true" outlineLevel="0" collapsed="false">
      <c r="A24" s="3" t="n">
        <v>23</v>
      </c>
      <c r="B24" s="3" t="s">
        <v>66</v>
      </c>
      <c r="C24" s="4" t="s">
        <v>126</v>
      </c>
      <c r="D24" s="5" t="s">
        <v>127</v>
      </c>
      <c r="E24" s="3" t="s">
        <v>44</v>
      </c>
      <c r="F24" s="5" t="s">
        <v>128</v>
      </c>
      <c r="G24" s="5" t="s">
        <v>129</v>
      </c>
      <c r="H24" s="5" t="s">
        <v>130</v>
      </c>
      <c r="I24" s="3" t="s">
        <v>18</v>
      </c>
      <c r="J24" s="3" t="s">
        <v>19</v>
      </c>
      <c r="K24" s="5" t="s">
        <v>20</v>
      </c>
    </row>
    <row r="25" customFormat="false" ht="60" hidden="false" customHeight="true" outlineLevel="0" collapsed="false">
      <c r="A25" s="6" t="n">
        <v>24</v>
      </c>
      <c r="B25" s="6" t="s">
        <v>66</v>
      </c>
      <c r="C25" s="7" t="s">
        <v>131</v>
      </c>
      <c r="D25" s="8" t="s">
        <v>132</v>
      </c>
      <c r="E25" s="6" t="s">
        <v>44</v>
      </c>
      <c r="F25" s="8" t="s">
        <v>133</v>
      </c>
      <c r="G25" s="8" t="s">
        <v>134</v>
      </c>
      <c r="H25" s="8" t="s">
        <v>135</v>
      </c>
      <c r="I25" s="6" t="s">
        <v>18</v>
      </c>
      <c r="J25" s="6" t="s">
        <v>19</v>
      </c>
      <c r="K25" s="8" t="s">
        <v>20</v>
      </c>
    </row>
    <row r="26" customFormat="false" ht="60" hidden="false" customHeight="true" outlineLevel="0" collapsed="false">
      <c r="A26" s="3" t="n">
        <v>25</v>
      </c>
      <c r="B26" s="3" t="s">
        <v>66</v>
      </c>
      <c r="C26" s="4" t="s">
        <v>136</v>
      </c>
      <c r="D26" s="5" t="s">
        <v>137</v>
      </c>
      <c r="E26" s="3" t="s">
        <v>38</v>
      </c>
      <c r="F26" s="5" t="s">
        <v>138</v>
      </c>
      <c r="G26" s="5" t="s">
        <v>139</v>
      </c>
      <c r="H26" s="5" t="s">
        <v>140</v>
      </c>
      <c r="I26" s="3" t="s">
        <v>18</v>
      </c>
      <c r="J26" s="3" t="s">
        <v>19</v>
      </c>
      <c r="K26" s="5" t="s">
        <v>20</v>
      </c>
    </row>
    <row r="27" customFormat="false" ht="60" hidden="false" customHeight="true" outlineLevel="0" collapsed="false">
      <c r="A27" s="6" t="n">
        <v>26</v>
      </c>
      <c r="B27" s="6" t="s">
        <v>66</v>
      </c>
      <c r="C27" s="7" t="s">
        <v>141</v>
      </c>
      <c r="D27" s="8" t="s">
        <v>142</v>
      </c>
      <c r="E27" s="6" t="s">
        <v>14</v>
      </c>
      <c r="F27" s="8" t="s">
        <v>143</v>
      </c>
      <c r="G27" s="8" t="s">
        <v>144</v>
      </c>
      <c r="H27" s="8" t="s">
        <v>145</v>
      </c>
      <c r="I27" s="6" t="s">
        <v>18</v>
      </c>
      <c r="J27" s="6" t="s">
        <v>19</v>
      </c>
      <c r="K27" s="8" t="s">
        <v>20</v>
      </c>
    </row>
    <row r="28" customFormat="false" ht="60" hidden="false" customHeight="true" outlineLevel="0" collapsed="false">
      <c r="A28" s="6" t="n">
        <v>27</v>
      </c>
      <c r="B28" s="6" t="s">
        <v>66</v>
      </c>
      <c r="C28" s="7" t="s">
        <v>146</v>
      </c>
      <c r="D28" s="8" t="s">
        <v>147</v>
      </c>
      <c r="E28" s="6" t="s">
        <v>14</v>
      </c>
      <c r="F28" s="8" t="s">
        <v>148</v>
      </c>
      <c r="G28" s="8" t="s">
        <v>149</v>
      </c>
      <c r="H28" s="8" t="s">
        <v>150</v>
      </c>
      <c r="I28" s="6" t="s">
        <v>26</v>
      </c>
      <c r="J28" s="6" t="s">
        <v>19</v>
      </c>
      <c r="K28" s="8" t="s">
        <v>20</v>
      </c>
    </row>
    <row r="29" customFormat="false" ht="60" hidden="false" customHeight="true" outlineLevel="0" collapsed="false">
      <c r="A29" s="3" t="n">
        <v>28</v>
      </c>
      <c r="B29" s="3" t="s">
        <v>66</v>
      </c>
      <c r="C29" s="4" t="s">
        <v>151</v>
      </c>
      <c r="D29" s="5" t="s">
        <v>152</v>
      </c>
      <c r="E29" s="3" t="s">
        <v>14</v>
      </c>
      <c r="F29" s="5" t="s">
        <v>148</v>
      </c>
      <c r="G29" s="5" t="s">
        <v>153</v>
      </c>
      <c r="H29" s="5" t="s">
        <v>154</v>
      </c>
      <c r="I29" s="3" t="s">
        <v>26</v>
      </c>
      <c r="J29" s="3" t="s">
        <v>19</v>
      </c>
      <c r="K29" s="5" t="s">
        <v>20</v>
      </c>
    </row>
    <row r="30" customFormat="false" ht="60" hidden="false" customHeight="true" outlineLevel="0" collapsed="false">
      <c r="A30" s="3" t="n">
        <v>29</v>
      </c>
      <c r="B30" s="3" t="s">
        <v>66</v>
      </c>
      <c r="C30" s="4" t="s">
        <v>155</v>
      </c>
      <c r="D30" s="5" t="s">
        <v>156</v>
      </c>
      <c r="E30" s="3" t="s">
        <v>14</v>
      </c>
      <c r="F30" s="5" t="s">
        <v>148</v>
      </c>
      <c r="G30" s="5" t="s">
        <v>157</v>
      </c>
      <c r="H30" s="5" t="s">
        <v>158</v>
      </c>
      <c r="I30" s="3" t="s">
        <v>26</v>
      </c>
      <c r="J30" s="3" t="s">
        <v>19</v>
      </c>
      <c r="K30" s="5" t="s">
        <v>20</v>
      </c>
    </row>
    <row r="31" customFormat="false" ht="60" hidden="false" customHeight="true" outlineLevel="0" collapsed="false">
      <c r="A31" s="3" t="n">
        <v>30</v>
      </c>
      <c r="B31" s="3" t="s">
        <v>66</v>
      </c>
      <c r="C31" s="4" t="s">
        <v>159</v>
      </c>
      <c r="D31" s="5" t="s">
        <v>160</v>
      </c>
      <c r="E31" s="3" t="s">
        <v>14</v>
      </c>
      <c r="F31" s="5" t="s">
        <v>161</v>
      </c>
      <c r="G31" s="5" t="s">
        <v>162</v>
      </c>
      <c r="H31" s="5" t="s">
        <v>163</v>
      </c>
      <c r="I31" s="3" t="s">
        <v>18</v>
      </c>
      <c r="J31" s="3" t="s">
        <v>19</v>
      </c>
      <c r="K31" s="5" t="s">
        <v>20</v>
      </c>
    </row>
    <row r="32" customFormat="false" ht="60" hidden="false" customHeight="true" outlineLevel="0" collapsed="false">
      <c r="A32" s="3" t="n">
        <v>31</v>
      </c>
      <c r="B32" s="3" t="s">
        <v>66</v>
      </c>
      <c r="C32" s="4" t="s">
        <v>164</v>
      </c>
      <c r="D32" s="5" t="s">
        <v>165</v>
      </c>
      <c r="E32" s="3" t="s">
        <v>14</v>
      </c>
      <c r="F32" s="5" t="s">
        <v>166</v>
      </c>
      <c r="G32" s="5" t="s">
        <v>167</v>
      </c>
      <c r="H32" s="5" t="s">
        <v>168</v>
      </c>
      <c r="I32" s="3" t="s">
        <v>26</v>
      </c>
      <c r="J32" s="3" t="s">
        <v>19</v>
      </c>
      <c r="K32" s="5" t="s">
        <v>20</v>
      </c>
    </row>
    <row r="33" customFormat="false" ht="60" hidden="false" customHeight="true" outlineLevel="0" collapsed="false">
      <c r="A33" s="3" t="n">
        <v>32</v>
      </c>
      <c r="B33" s="3" t="s">
        <v>66</v>
      </c>
      <c r="C33" s="4" t="s">
        <v>169</v>
      </c>
      <c r="D33" s="5" t="s">
        <v>170</v>
      </c>
      <c r="E33" s="3" t="s">
        <v>14</v>
      </c>
      <c r="F33" s="5" t="s">
        <v>148</v>
      </c>
      <c r="G33" s="5" t="s">
        <v>171</v>
      </c>
      <c r="H33" s="5" t="s">
        <v>172</v>
      </c>
      <c r="I33" s="3" t="s">
        <v>26</v>
      </c>
      <c r="J33" s="3" t="s">
        <v>19</v>
      </c>
      <c r="K33" s="5" t="s">
        <v>20</v>
      </c>
    </row>
    <row r="34" customFormat="false" ht="60" hidden="false" customHeight="true" outlineLevel="0" collapsed="false">
      <c r="A34" s="6" t="n">
        <v>33</v>
      </c>
      <c r="B34" s="6" t="s">
        <v>66</v>
      </c>
      <c r="C34" s="7" t="s">
        <v>173</v>
      </c>
      <c r="D34" s="8" t="s">
        <v>174</v>
      </c>
      <c r="E34" s="6" t="s">
        <v>44</v>
      </c>
      <c r="F34" s="8" t="s">
        <v>148</v>
      </c>
      <c r="G34" s="8" t="s">
        <v>175</v>
      </c>
      <c r="H34" s="8" t="s">
        <v>176</v>
      </c>
      <c r="I34" s="6" t="s">
        <v>18</v>
      </c>
      <c r="J34" s="6" t="s">
        <v>19</v>
      </c>
      <c r="K34" s="8" t="s">
        <v>20</v>
      </c>
    </row>
    <row r="35" customFormat="false" ht="60" hidden="false" customHeight="true" outlineLevel="0" collapsed="false">
      <c r="A35" s="3" t="n">
        <v>34</v>
      </c>
      <c r="B35" s="3" t="s">
        <v>66</v>
      </c>
      <c r="C35" s="4" t="s">
        <v>177</v>
      </c>
      <c r="D35" s="5" t="s">
        <v>178</v>
      </c>
      <c r="E35" s="3" t="s">
        <v>33</v>
      </c>
      <c r="F35" s="5" t="s">
        <v>179</v>
      </c>
      <c r="G35" s="5" t="s">
        <v>180</v>
      </c>
      <c r="H35" s="5" t="s">
        <v>181</v>
      </c>
      <c r="I35" s="3" t="s">
        <v>18</v>
      </c>
      <c r="J35" s="3" t="s">
        <v>19</v>
      </c>
      <c r="K35" s="5" t="s">
        <v>20</v>
      </c>
    </row>
    <row r="36" customFormat="false" ht="60" hidden="false" customHeight="true" outlineLevel="0" collapsed="false">
      <c r="A36" s="3" t="n">
        <v>35</v>
      </c>
      <c r="B36" s="3" t="s">
        <v>66</v>
      </c>
      <c r="C36" s="4" t="s">
        <v>182</v>
      </c>
      <c r="D36" s="5" t="s">
        <v>183</v>
      </c>
      <c r="E36" s="3" t="s">
        <v>44</v>
      </c>
      <c r="F36" s="5" t="s">
        <v>166</v>
      </c>
      <c r="G36" s="5" t="s">
        <v>184</v>
      </c>
      <c r="H36" s="5" t="s">
        <v>185</v>
      </c>
      <c r="I36" s="3" t="s">
        <v>18</v>
      </c>
      <c r="J36" s="3" t="s">
        <v>19</v>
      </c>
      <c r="K36" s="5" t="s">
        <v>20</v>
      </c>
    </row>
    <row r="37" customFormat="false" ht="60" hidden="false" customHeight="true" outlineLevel="0" collapsed="false">
      <c r="A37" s="3" t="n">
        <v>36</v>
      </c>
      <c r="B37" s="3" t="s">
        <v>66</v>
      </c>
      <c r="C37" s="4" t="s">
        <v>186</v>
      </c>
      <c r="D37" s="5" t="s">
        <v>187</v>
      </c>
      <c r="E37" s="3" t="s">
        <v>14</v>
      </c>
      <c r="F37" s="5" t="s">
        <v>188</v>
      </c>
      <c r="G37" s="5" t="s">
        <v>189</v>
      </c>
      <c r="H37" s="5" t="s">
        <v>190</v>
      </c>
      <c r="I37" s="3" t="s">
        <v>18</v>
      </c>
      <c r="J37" s="3" t="s">
        <v>19</v>
      </c>
      <c r="K37" s="5" t="s">
        <v>20</v>
      </c>
    </row>
    <row r="38" customFormat="false" ht="60" hidden="false" customHeight="true" outlineLevel="0" collapsed="false">
      <c r="A38" s="6" t="n">
        <v>37</v>
      </c>
      <c r="B38" s="6" t="s">
        <v>66</v>
      </c>
      <c r="C38" s="7" t="s">
        <v>191</v>
      </c>
      <c r="D38" s="8" t="s">
        <v>192</v>
      </c>
      <c r="E38" s="6" t="s">
        <v>33</v>
      </c>
      <c r="F38" s="8" t="s">
        <v>193</v>
      </c>
      <c r="G38" s="8" t="s">
        <v>194</v>
      </c>
      <c r="H38" s="8" t="s">
        <v>195</v>
      </c>
      <c r="I38" s="6" t="s">
        <v>18</v>
      </c>
      <c r="J38" s="6" t="s">
        <v>19</v>
      </c>
      <c r="K38" s="8" t="s">
        <v>20</v>
      </c>
    </row>
    <row r="39" customFormat="false" ht="60" hidden="false" customHeight="true" outlineLevel="0" collapsed="false">
      <c r="A39" s="3" t="n">
        <v>38</v>
      </c>
      <c r="B39" s="3" t="s">
        <v>66</v>
      </c>
      <c r="C39" s="4" t="s">
        <v>196</v>
      </c>
      <c r="D39" s="5" t="s">
        <v>197</v>
      </c>
      <c r="E39" s="3" t="s">
        <v>33</v>
      </c>
      <c r="F39" s="5" t="s">
        <v>198</v>
      </c>
      <c r="G39" s="5" t="s">
        <v>199</v>
      </c>
      <c r="H39" s="5" t="s">
        <v>200</v>
      </c>
      <c r="I39" s="3" t="s">
        <v>26</v>
      </c>
      <c r="J39" s="3" t="s">
        <v>19</v>
      </c>
      <c r="K39" s="5" t="s">
        <v>20</v>
      </c>
    </row>
    <row r="40" customFormat="false" ht="60" hidden="false" customHeight="true" outlineLevel="0" collapsed="false">
      <c r="A40" s="3" t="n">
        <v>39</v>
      </c>
      <c r="B40" s="3" t="s">
        <v>66</v>
      </c>
      <c r="C40" s="4" t="s">
        <v>201</v>
      </c>
      <c r="D40" s="5" t="s">
        <v>202</v>
      </c>
      <c r="E40" s="3" t="s">
        <v>44</v>
      </c>
      <c r="F40" s="5" t="s">
        <v>203</v>
      </c>
      <c r="G40" s="5" t="s">
        <v>204</v>
      </c>
      <c r="H40" s="5" t="s">
        <v>205</v>
      </c>
      <c r="I40" s="3" t="s">
        <v>18</v>
      </c>
      <c r="J40" s="3" t="s">
        <v>19</v>
      </c>
      <c r="K40" s="5" t="s">
        <v>20</v>
      </c>
    </row>
    <row r="41" customFormat="false" ht="60" hidden="false" customHeight="true" outlineLevel="0" collapsed="false">
      <c r="A41" s="3" t="n">
        <v>40</v>
      </c>
      <c r="B41" s="3" t="s">
        <v>66</v>
      </c>
      <c r="C41" s="4" t="s">
        <v>206</v>
      </c>
      <c r="D41" s="5" t="s">
        <v>207</v>
      </c>
      <c r="E41" s="3" t="s">
        <v>38</v>
      </c>
      <c r="F41" s="5" t="s">
        <v>208</v>
      </c>
      <c r="G41" s="5" t="s">
        <v>209</v>
      </c>
      <c r="H41" s="5" t="s">
        <v>210</v>
      </c>
      <c r="I41" s="3" t="s">
        <v>18</v>
      </c>
      <c r="J41" s="3" t="s">
        <v>19</v>
      </c>
      <c r="K41" s="5" t="s">
        <v>20</v>
      </c>
    </row>
    <row r="42" customFormat="false" ht="60" hidden="false" customHeight="true" outlineLevel="0" collapsed="false">
      <c r="A42" s="3" t="n">
        <v>41</v>
      </c>
      <c r="B42" s="3" t="s">
        <v>66</v>
      </c>
      <c r="C42" s="4" t="s">
        <v>211</v>
      </c>
      <c r="D42" s="5" t="s">
        <v>212</v>
      </c>
      <c r="E42" s="3" t="s">
        <v>33</v>
      </c>
      <c r="F42" s="5" t="s">
        <v>213</v>
      </c>
      <c r="G42" s="5" t="s">
        <v>214</v>
      </c>
      <c r="H42" s="5" t="s">
        <v>200</v>
      </c>
      <c r="I42" s="3" t="s">
        <v>26</v>
      </c>
      <c r="J42" s="3" t="s">
        <v>19</v>
      </c>
      <c r="K42" s="5" t="s">
        <v>20</v>
      </c>
    </row>
    <row r="43" customFormat="false" ht="60" hidden="false" customHeight="true" outlineLevel="0" collapsed="false">
      <c r="A43" s="3" t="n">
        <v>42</v>
      </c>
      <c r="B43" s="3" t="s">
        <v>66</v>
      </c>
      <c r="C43" s="4" t="s">
        <v>215</v>
      </c>
      <c r="D43" s="5" t="s">
        <v>216</v>
      </c>
      <c r="E43" s="3" t="s">
        <v>44</v>
      </c>
      <c r="F43" s="5" t="s">
        <v>213</v>
      </c>
      <c r="G43" s="5" t="s">
        <v>217</v>
      </c>
      <c r="H43" s="5" t="s">
        <v>185</v>
      </c>
      <c r="I43" s="3" t="s">
        <v>18</v>
      </c>
      <c r="J43" s="3" t="s">
        <v>19</v>
      </c>
      <c r="K43" s="5" t="s">
        <v>20</v>
      </c>
    </row>
    <row r="44" customFormat="false" ht="60" hidden="false" customHeight="true" outlineLevel="0" collapsed="false">
      <c r="A44" s="3" t="n">
        <v>43</v>
      </c>
      <c r="B44" s="3" t="s">
        <v>66</v>
      </c>
      <c r="C44" s="4" t="s">
        <v>218</v>
      </c>
      <c r="D44" s="5" t="s">
        <v>219</v>
      </c>
      <c r="E44" s="3" t="s">
        <v>44</v>
      </c>
      <c r="F44" s="5" t="s">
        <v>220</v>
      </c>
      <c r="G44" s="5" t="s">
        <v>221</v>
      </c>
      <c r="H44" s="5" t="s">
        <v>222</v>
      </c>
      <c r="I44" s="3" t="s">
        <v>18</v>
      </c>
      <c r="J44" s="3" t="s">
        <v>19</v>
      </c>
      <c r="K44" s="5" t="s">
        <v>20</v>
      </c>
    </row>
    <row r="45" customFormat="false" ht="60" hidden="false" customHeight="true" outlineLevel="0" collapsed="false">
      <c r="A45" s="3" t="n">
        <v>44</v>
      </c>
      <c r="B45" s="3" t="s">
        <v>66</v>
      </c>
      <c r="C45" s="4" t="s">
        <v>223</v>
      </c>
      <c r="D45" s="5" t="s">
        <v>224</v>
      </c>
      <c r="E45" s="3" t="s">
        <v>38</v>
      </c>
      <c r="F45" s="5" t="s">
        <v>225</v>
      </c>
      <c r="G45" s="5" t="s">
        <v>226</v>
      </c>
      <c r="H45" s="5" t="s">
        <v>227</v>
      </c>
      <c r="I45" s="3" t="s">
        <v>18</v>
      </c>
      <c r="J45" s="3" t="s">
        <v>19</v>
      </c>
      <c r="K45" s="5" t="s">
        <v>20</v>
      </c>
    </row>
    <row r="46" customFormat="false" ht="60" hidden="false" customHeight="true" outlineLevel="0" collapsed="false">
      <c r="A46" s="3" t="n">
        <v>45</v>
      </c>
      <c r="B46" s="3" t="s">
        <v>66</v>
      </c>
      <c r="C46" s="4" t="s">
        <v>228</v>
      </c>
      <c r="D46" s="5" t="s">
        <v>229</v>
      </c>
      <c r="E46" s="3" t="s">
        <v>14</v>
      </c>
      <c r="F46" s="5" t="s">
        <v>230</v>
      </c>
      <c r="G46" s="5" t="s">
        <v>231</v>
      </c>
      <c r="H46" s="5" t="s">
        <v>232</v>
      </c>
      <c r="I46" s="3" t="s">
        <v>18</v>
      </c>
      <c r="J46" s="3" t="s">
        <v>19</v>
      </c>
      <c r="K46" s="5" t="s">
        <v>20</v>
      </c>
    </row>
    <row r="47" customFormat="false" ht="60" hidden="false" customHeight="true" outlineLevel="0" collapsed="false">
      <c r="A47" s="3" t="n">
        <v>46</v>
      </c>
      <c r="B47" s="3" t="s">
        <v>66</v>
      </c>
      <c r="C47" s="4" t="s">
        <v>233</v>
      </c>
      <c r="D47" s="5" t="s">
        <v>234</v>
      </c>
      <c r="E47" s="3" t="s">
        <v>14</v>
      </c>
      <c r="F47" s="5" t="s">
        <v>235</v>
      </c>
      <c r="G47" s="5" t="s">
        <v>236</v>
      </c>
      <c r="H47" s="5" t="s">
        <v>237</v>
      </c>
      <c r="I47" s="3" t="s">
        <v>18</v>
      </c>
      <c r="J47" s="3" t="s">
        <v>19</v>
      </c>
      <c r="K47" s="5" t="s">
        <v>20</v>
      </c>
    </row>
    <row r="48" customFormat="false" ht="60" hidden="false" customHeight="true" outlineLevel="0" collapsed="false">
      <c r="A48" s="3" t="n">
        <v>47</v>
      </c>
      <c r="B48" s="3" t="s">
        <v>66</v>
      </c>
      <c r="C48" s="4" t="s">
        <v>238</v>
      </c>
      <c r="D48" s="5" t="s">
        <v>239</v>
      </c>
      <c r="E48" s="3" t="s">
        <v>14</v>
      </c>
      <c r="F48" s="5" t="s">
        <v>240</v>
      </c>
      <c r="G48" s="5" t="s">
        <v>241</v>
      </c>
      <c r="H48" s="5" t="s">
        <v>242</v>
      </c>
      <c r="I48" s="3" t="s">
        <v>26</v>
      </c>
      <c r="J48" s="3" t="s">
        <v>19</v>
      </c>
      <c r="K48" s="5" t="s">
        <v>20</v>
      </c>
    </row>
    <row r="49" customFormat="false" ht="60" hidden="false" customHeight="true" outlineLevel="0" collapsed="false">
      <c r="A49" s="6" t="n">
        <v>48</v>
      </c>
      <c r="B49" s="6" t="s">
        <v>66</v>
      </c>
      <c r="C49" s="7" t="s">
        <v>243</v>
      </c>
      <c r="D49" s="8" t="s">
        <v>244</v>
      </c>
      <c r="E49" s="6" t="s">
        <v>14</v>
      </c>
      <c r="F49" s="8" t="s">
        <v>245</v>
      </c>
      <c r="G49" s="8" t="s">
        <v>246</v>
      </c>
      <c r="H49" s="8" t="s">
        <v>247</v>
      </c>
      <c r="I49" s="6" t="s">
        <v>18</v>
      </c>
      <c r="J49" s="6" t="s">
        <v>19</v>
      </c>
      <c r="K49" s="8" t="s">
        <v>20</v>
      </c>
    </row>
    <row r="50" customFormat="false" ht="60" hidden="false" customHeight="true" outlineLevel="0" collapsed="false">
      <c r="A50" s="3" t="n">
        <v>49</v>
      </c>
      <c r="B50" s="3" t="s">
        <v>66</v>
      </c>
      <c r="C50" s="4" t="s">
        <v>248</v>
      </c>
      <c r="D50" s="5" t="s">
        <v>249</v>
      </c>
      <c r="E50" s="3" t="s">
        <v>33</v>
      </c>
      <c r="F50" s="5" t="s">
        <v>250</v>
      </c>
      <c r="G50" s="5" t="s">
        <v>251</v>
      </c>
      <c r="H50" s="5" t="s">
        <v>252</v>
      </c>
      <c r="I50" s="3" t="s">
        <v>18</v>
      </c>
      <c r="J50" s="3" t="s">
        <v>19</v>
      </c>
      <c r="K50" s="5" t="s">
        <v>20</v>
      </c>
    </row>
    <row r="51" customFormat="false" ht="60" hidden="false" customHeight="true" outlineLevel="0" collapsed="false">
      <c r="A51" s="3" t="n">
        <v>50</v>
      </c>
      <c r="B51" s="3" t="s">
        <v>66</v>
      </c>
      <c r="C51" s="4" t="s">
        <v>253</v>
      </c>
      <c r="D51" s="5" t="s">
        <v>254</v>
      </c>
      <c r="E51" s="3" t="s">
        <v>14</v>
      </c>
      <c r="F51" s="5" t="s">
        <v>255</v>
      </c>
      <c r="G51" s="5" t="s">
        <v>256</v>
      </c>
      <c r="H51" s="5" t="s">
        <v>257</v>
      </c>
      <c r="I51" s="3" t="s">
        <v>18</v>
      </c>
      <c r="J51" s="3" t="s">
        <v>19</v>
      </c>
      <c r="K51" s="5" t="s">
        <v>20</v>
      </c>
    </row>
    <row r="52" customFormat="false" ht="60" hidden="false" customHeight="true" outlineLevel="0" collapsed="false">
      <c r="A52" s="3" t="n">
        <v>51</v>
      </c>
      <c r="B52" s="3" t="s">
        <v>66</v>
      </c>
      <c r="C52" s="4" t="s">
        <v>258</v>
      </c>
      <c r="D52" s="5" t="s">
        <v>259</v>
      </c>
      <c r="E52" s="3" t="s">
        <v>38</v>
      </c>
      <c r="F52" s="5" t="s">
        <v>260</v>
      </c>
      <c r="G52" s="5" t="s">
        <v>261</v>
      </c>
      <c r="H52" s="5" t="s">
        <v>262</v>
      </c>
      <c r="I52" s="3" t="s">
        <v>26</v>
      </c>
      <c r="J52" s="3" t="s">
        <v>19</v>
      </c>
      <c r="K52" s="5" t="s">
        <v>20</v>
      </c>
    </row>
    <row r="53" customFormat="false" ht="60" hidden="false" customHeight="true" outlineLevel="0" collapsed="false">
      <c r="A53" s="3" t="n">
        <v>52</v>
      </c>
      <c r="B53" s="3" t="s">
        <v>66</v>
      </c>
      <c r="C53" s="4" t="s">
        <v>263</v>
      </c>
      <c r="D53" s="5" t="s">
        <v>264</v>
      </c>
      <c r="E53" s="3" t="s">
        <v>103</v>
      </c>
      <c r="F53" s="5" t="s">
        <v>265</v>
      </c>
      <c r="G53" s="5" t="s">
        <v>266</v>
      </c>
      <c r="H53" s="5" t="s">
        <v>267</v>
      </c>
      <c r="I53" s="3" t="s">
        <v>26</v>
      </c>
      <c r="J53" s="3" t="s">
        <v>19</v>
      </c>
      <c r="K53" s="5" t="s">
        <v>20</v>
      </c>
    </row>
    <row r="54" customFormat="false" ht="60" hidden="false" customHeight="true" outlineLevel="0" collapsed="false">
      <c r="A54" s="3" t="n">
        <v>53</v>
      </c>
      <c r="B54" s="3" t="s">
        <v>66</v>
      </c>
      <c r="C54" s="4" t="s">
        <v>268</v>
      </c>
      <c r="D54" s="5" t="s">
        <v>269</v>
      </c>
      <c r="E54" s="3" t="s">
        <v>14</v>
      </c>
      <c r="F54" s="5" t="s">
        <v>270</v>
      </c>
      <c r="G54" s="5" t="s">
        <v>271</v>
      </c>
      <c r="H54" s="5" t="s">
        <v>272</v>
      </c>
      <c r="I54" s="3" t="s">
        <v>26</v>
      </c>
      <c r="J54" s="3" t="s">
        <v>19</v>
      </c>
      <c r="K54" s="5" t="s">
        <v>20</v>
      </c>
    </row>
    <row r="55" customFormat="false" ht="60" hidden="false" customHeight="true" outlineLevel="0" collapsed="false">
      <c r="A55" s="3" t="n">
        <v>54</v>
      </c>
      <c r="B55" s="3" t="s">
        <v>66</v>
      </c>
      <c r="C55" s="4" t="s">
        <v>273</v>
      </c>
      <c r="D55" s="5" t="s">
        <v>274</v>
      </c>
      <c r="E55" s="3" t="s">
        <v>33</v>
      </c>
      <c r="F55" s="5" t="s">
        <v>270</v>
      </c>
      <c r="G55" s="5" t="s">
        <v>275</v>
      </c>
      <c r="H55" s="5" t="s">
        <v>276</v>
      </c>
      <c r="I55" s="3" t="s">
        <v>26</v>
      </c>
      <c r="J55" s="3" t="s">
        <v>19</v>
      </c>
      <c r="K55" s="5" t="s">
        <v>20</v>
      </c>
    </row>
    <row r="56" customFormat="false" ht="60" hidden="false" customHeight="true" outlineLevel="0" collapsed="false">
      <c r="A56" s="6" t="n">
        <v>55</v>
      </c>
      <c r="B56" s="6" t="s">
        <v>66</v>
      </c>
      <c r="C56" s="7" t="s">
        <v>277</v>
      </c>
      <c r="D56" s="8" t="s">
        <v>278</v>
      </c>
      <c r="E56" s="6" t="s">
        <v>14</v>
      </c>
      <c r="F56" s="8" t="s">
        <v>279</v>
      </c>
      <c r="G56" s="8" t="s">
        <v>280</v>
      </c>
      <c r="H56" s="8" t="s">
        <v>281</v>
      </c>
      <c r="I56" s="6" t="s">
        <v>18</v>
      </c>
      <c r="J56" s="6" t="s">
        <v>19</v>
      </c>
      <c r="K56" s="8" t="s">
        <v>20</v>
      </c>
    </row>
    <row r="57" customFormat="false" ht="60" hidden="false" customHeight="true" outlineLevel="0" collapsed="false">
      <c r="A57" s="3" t="n">
        <v>56</v>
      </c>
      <c r="B57" s="3" t="s">
        <v>66</v>
      </c>
      <c r="C57" s="4" t="s">
        <v>282</v>
      </c>
      <c r="D57" s="5" t="s">
        <v>283</v>
      </c>
      <c r="E57" s="3" t="s">
        <v>33</v>
      </c>
      <c r="F57" s="5" t="s">
        <v>284</v>
      </c>
      <c r="G57" s="5" t="s">
        <v>285</v>
      </c>
      <c r="H57" s="5" t="s">
        <v>286</v>
      </c>
      <c r="I57" s="3" t="s">
        <v>18</v>
      </c>
      <c r="J57" s="3" t="s">
        <v>19</v>
      </c>
      <c r="K57" s="5" t="s">
        <v>20</v>
      </c>
    </row>
    <row r="58" customFormat="false" ht="60" hidden="false" customHeight="true" outlineLevel="0" collapsed="false">
      <c r="A58" s="3" t="n">
        <v>57</v>
      </c>
      <c r="B58" s="3" t="s">
        <v>287</v>
      </c>
      <c r="C58" s="4" t="s">
        <v>288</v>
      </c>
      <c r="D58" s="5" t="s">
        <v>289</v>
      </c>
      <c r="E58" s="3" t="s">
        <v>14</v>
      </c>
      <c r="F58" s="5" t="s">
        <v>290</v>
      </c>
      <c r="G58" s="5" t="s">
        <v>291</v>
      </c>
      <c r="H58" s="5" t="s">
        <v>292</v>
      </c>
      <c r="I58" s="3" t="s">
        <v>18</v>
      </c>
      <c r="J58" s="3" t="s">
        <v>19</v>
      </c>
      <c r="K58" s="5" t="s">
        <v>20</v>
      </c>
    </row>
    <row r="59" customFormat="false" ht="60" hidden="false" customHeight="true" outlineLevel="0" collapsed="false">
      <c r="A59" s="3" t="n">
        <v>58</v>
      </c>
      <c r="B59" s="3" t="s">
        <v>287</v>
      </c>
      <c r="C59" s="4" t="s">
        <v>293</v>
      </c>
      <c r="D59" s="5" t="s">
        <v>294</v>
      </c>
      <c r="E59" s="3" t="s">
        <v>14</v>
      </c>
      <c r="F59" s="5" t="s">
        <v>295</v>
      </c>
      <c r="G59" s="5" t="s">
        <v>296</v>
      </c>
      <c r="H59" s="5" t="s">
        <v>297</v>
      </c>
      <c r="I59" s="3" t="s">
        <v>18</v>
      </c>
      <c r="J59" s="3" t="s">
        <v>19</v>
      </c>
      <c r="K59" s="5" t="s">
        <v>20</v>
      </c>
    </row>
    <row r="60" customFormat="false" ht="60" hidden="false" customHeight="true" outlineLevel="0" collapsed="false">
      <c r="A60" s="3" t="n">
        <v>59</v>
      </c>
      <c r="B60" s="3" t="s">
        <v>287</v>
      </c>
      <c r="C60" s="4" t="s">
        <v>298</v>
      </c>
      <c r="D60" s="5" t="s">
        <v>299</v>
      </c>
      <c r="E60" s="3" t="s">
        <v>14</v>
      </c>
      <c r="F60" s="5" t="s">
        <v>300</v>
      </c>
      <c r="G60" s="5" t="s">
        <v>301</v>
      </c>
      <c r="H60" s="5" t="s">
        <v>302</v>
      </c>
      <c r="I60" s="3" t="s">
        <v>18</v>
      </c>
      <c r="J60" s="3" t="s">
        <v>19</v>
      </c>
      <c r="K60" s="5" t="s">
        <v>20</v>
      </c>
    </row>
    <row r="61" customFormat="false" ht="60" hidden="false" customHeight="true" outlineLevel="0" collapsed="false">
      <c r="A61" s="3" t="n">
        <v>60</v>
      </c>
      <c r="B61" s="3" t="s">
        <v>287</v>
      </c>
      <c r="C61" s="4" t="s">
        <v>303</v>
      </c>
      <c r="D61" s="5" t="s">
        <v>304</v>
      </c>
      <c r="E61" s="3" t="s">
        <v>14</v>
      </c>
      <c r="F61" s="5" t="s">
        <v>305</v>
      </c>
      <c r="G61" s="5" t="s">
        <v>306</v>
      </c>
      <c r="H61" s="5" t="s">
        <v>307</v>
      </c>
      <c r="I61" s="3" t="s">
        <v>18</v>
      </c>
      <c r="J61" s="3" t="s">
        <v>19</v>
      </c>
      <c r="K61" s="5" t="s">
        <v>20</v>
      </c>
    </row>
    <row r="62" customFormat="false" ht="60" hidden="false" customHeight="true" outlineLevel="0" collapsed="false">
      <c r="A62" s="3" t="n">
        <v>61</v>
      </c>
      <c r="B62" s="3" t="s">
        <v>287</v>
      </c>
      <c r="C62" s="4" t="s">
        <v>308</v>
      </c>
      <c r="D62" s="5" t="s">
        <v>309</v>
      </c>
      <c r="E62" s="3" t="s">
        <v>38</v>
      </c>
      <c r="F62" s="5" t="s">
        <v>310</v>
      </c>
      <c r="G62" s="5" t="s">
        <v>311</v>
      </c>
      <c r="H62" s="5" t="s">
        <v>312</v>
      </c>
      <c r="I62" s="3" t="s">
        <v>18</v>
      </c>
      <c r="J62" s="3" t="s">
        <v>19</v>
      </c>
      <c r="K62" s="5" t="s">
        <v>20</v>
      </c>
    </row>
    <row r="63" customFormat="false" ht="60" hidden="false" customHeight="true" outlineLevel="0" collapsed="false">
      <c r="A63" s="3" t="n">
        <v>62</v>
      </c>
      <c r="B63" s="3" t="s">
        <v>287</v>
      </c>
      <c r="C63" s="4" t="s">
        <v>313</v>
      </c>
      <c r="D63" s="5" t="s">
        <v>314</v>
      </c>
      <c r="E63" s="3" t="s">
        <v>103</v>
      </c>
      <c r="F63" s="5" t="s">
        <v>315</v>
      </c>
      <c r="G63" s="5" t="s">
        <v>316</v>
      </c>
      <c r="H63" s="5" t="s">
        <v>317</v>
      </c>
      <c r="I63" s="3" t="s">
        <v>26</v>
      </c>
      <c r="J63" s="3" t="s">
        <v>19</v>
      </c>
      <c r="K63" s="5" t="s">
        <v>20</v>
      </c>
    </row>
    <row r="64" customFormat="false" ht="60" hidden="false" customHeight="true" outlineLevel="0" collapsed="false">
      <c r="A64" s="3" t="n">
        <v>63</v>
      </c>
      <c r="B64" s="3" t="s">
        <v>287</v>
      </c>
      <c r="C64" s="4" t="s">
        <v>318</v>
      </c>
      <c r="D64" s="5" t="s">
        <v>319</v>
      </c>
      <c r="E64" s="3" t="s">
        <v>103</v>
      </c>
      <c r="F64" s="5" t="s">
        <v>320</v>
      </c>
      <c r="G64" s="5" t="s">
        <v>321</v>
      </c>
      <c r="H64" s="5" t="s">
        <v>322</v>
      </c>
      <c r="I64" s="3" t="s">
        <v>26</v>
      </c>
      <c r="J64" s="3" t="s">
        <v>19</v>
      </c>
      <c r="K64" s="5" t="s">
        <v>20</v>
      </c>
    </row>
    <row r="65" customFormat="false" ht="60" hidden="false" customHeight="true" outlineLevel="0" collapsed="false">
      <c r="A65" s="3" t="n">
        <v>64</v>
      </c>
      <c r="B65" s="3" t="s">
        <v>287</v>
      </c>
      <c r="C65" s="4" t="s">
        <v>323</v>
      </c>
      <c r="D65" s="5" t="s">
        <v>324</v>
      </c>
      <c r="E65" s="3" t="s">
        <v>103</v>
      </c>
      <c r="F65" s="5" t="s">
        <v>325</v>
      </c>
      <c r="G65" s="5" t="s">
        <v>326</v>
      </c>
      <c r="H65" s="5" t="s">
        <v>327</v>
      </c>
      <c r="I65" s="3" t="s">
        <v>26</v>
      </c>
      <c r="J65" s="3" t="s">
        <v>19</v>
      </c>
      <c r="K65" s="5" t="s">
        <v>20</v>
      </c>
    </row>
    <row r="66" customFormat="false" ht="60" hidden="false" customHeight="true" outlineLevel="0" collapsed="false">
      <c r="A66" s="3" t="n">
        <v>65</v>
      </c>
      <c r="B66" s="3" t="s">
        <v>287</v>
      </c>
      <c r="C66" s="4" t="s">
        <v>328</v>
      </c>
      <c r="D66" s="5" t="s">
        <v>329</v>
      </c>
      <c r="E66" s="3" t="s">
        <v>14</v>
      </c>
      <c r="F66" s="5" t="s">
        <v>330</v>
      </c>
      <c r="G66" s="5" t="s">
        <v>331</v>
      </c>
      <c r="H66" s="5" t="s">
        <v>332</v>
      </c>
      <c r="I66" s="3" t="s">
        <v>18</v>
      </c>
      <c r="J66" s="3" t="s">
        <v>19</v>
      </c>
      <c r="K66" s="5" t="s">
        <v>20</v>
      </c>
    </row>
    <row r="67" customFormat="false" ht="60" hidden="false" customHeight="true" outlineLevel="0" collapsed="false">
      <c r="A67" s="3" t="n">
        <v>66</v>
      </c>
      <c r="B67" s="3" t="s">
        <v>287</v>
      </c>
      <c r="C67" s="4" t="s">
        <v>333</v>
      </c>
      <c r="D67" s="5" t="s">
        <v>334</v>
      </c>
      <c r="E67" s="3" t="s">
        <v>33</v>
      </c>
      <c r="F67" s="5" t="s">
        <v>335</v>
      </c>
      <c r="G67" s="5" t="s">
        <v>336</v>
      </c>
      <c r="H67" s="5" t="s">
        <v>337</v>
      </c>
      <c r="I67" s="3" t="s">
        <v>18</v>
      </c>
      <c r="J67" s="3" t="s">
        <v>19</v>
      </c>
      <c r="K67" s="5" t="s">
        <v>20</v>
      </c>
    </row>
    <row r="68" customFormat="false" ht="60" hidden="false" customHeight="true" outlineLevel="0" collapsed="false">
      <c r="A68" s="3" t="n">
        <v>67</v>
      </c>
      <c r="B68" s="3" t="s">
        <v>287</v>
      </c>
      <c r="C68" s="4" t="s">
        <v>338</v>
      </c>
      <c r="D68" s="5" t="s">
        <v>339</v>
      </c>
      <c r="E68" s="3" t="s">
        <v>33</v>
      </c>
      <c r="F68" s="5" t="s">
        <v>340</v>
      </c>
      <c r="G68" s="5" t="s">
        <v>341</v>
      </c>
      <c r="H68" s="5" t="s">
        <v>342</v>
      </c>
      <c r="I68" s="3" t="s">
        <v>26</v>
      </c>
      <c r="J68" s="3" t="s">
        <v>19</v>
      </c>
      <c r="K68" s="5" t="s">
        <v>20</v>
      </c>
    </row>
    <row r="69" customFormat="false" ht="60" hidden="false" customHeight="true" outlineLevel="0" collapsed="false">
      <c r="A69" s="3" t="n">
        <v>68</v>
      </c>
      <c r="B69" s="3" t="s">
        <v>287</v>
      </c>
      <c r="C69" s="4" t="s">
        <v>343</v>
      </c>
      <c r="D69" s="5" t="s">
        <v>344</v>
      </c>
      <c r="E69" s="3" t="s">
        <v>14</v>
      </c>
      <c r="F69" s="5" t="s">
        <v>340</v>
      </c>
      <c r="G69" s="5" t="s">
        <v>345</v>
      </c>
      <c r="H69" s="5" t="s">
        <v>200</v>
      </c>
      <c r="I69" s="3" t="s">
        <v>26</v>
      </c>
      <c r="J69" s="3" t="s">
        <v>19</v>
      </c>
      <c r="K69" s="5" t="s">
        <v>20</v>
      </c>
    </row>
    <row r="70" customFormat="false" ht="60" hidden="false" customHeight="true" outlineLevel="0" collapsed="false">
      <c r="A70" s="3" t="n">
        <v>69</v>
      </c>
      <c r="B70" s="3" t="s">
        <v>287</v>
      </c>
      <c r="C70" s="4" t="s">
        <v>346</v>
      </c>
      <c r="D70" s="5" t="s">
        <v>347</v>
      </c>
      <c r="E70" s="3" t="s">
        <v>44</v>
      </c>
      <c r="F70" s="5" t="s">
        <v>348</v>
      </c>
      <c r="G70" s="5" t="s">
        <v>349</v>
      </c>
      <c r="H70" s="5" t="s">
        <v>350</v>
      </c>
      <c r="I70" s="3" t="s">
        <v>18</v>
      </c>
      <c r="J70" s="3" t="s">
        <v>19</v>
      </c>
      <c r="K70" s="5" t="s">
        <v>20</v>
      </c>
    </row>
    <row r="71" customFormat="false" ht="60" hidden="false" customHeight="true" outlineLevel="0" collapsed="false">
      <c r="A71" s="6" t="n">
        <v>70</v>
      </c>
      <c r="B71" s="6" t="s">
        <v>287</v>
      </c>
      <c r="C71" s="7" t="s">
        <v>351</v>
      </c>
      <c r="D71" s="8" t="s">
        <v>352</v>
      </c>
      <c r="E71" s="6" t="s">
        <v>44</v>
      </c>
      <c r="F71" s="8" t="s">
        <v>353</v>
      </c>
      <c r="G71" s="8" t="s">
        <v>354</v>
      </c>
      <c r="H71" s="8" t="s">
        <v>355</v>
      </c>
      <c r="I71" s="6" t="s">
        <v>18</v>
      </c>
      <c r="J71" s="6" t="s">
        <v>19</v>
      </c>
      <c r="K71" s="8" t="s">
        <v>20</v>
      </c>
    </row>
    <row r="72" customFormat="false" ht="60" hidden="false" customHeight="true" outlineLevel="0" collapsed="false">
      <c r="A72" s="3" t="n">
        <v>71</v>
      </c>
      <c r="B72" s="3" t="s">
        <v>287</v>
      </c>
      <c r="C72" s="4" t="s">
        <v>356</v>
      </c>
      <c r="D72" s="5" t="s">
        <v>357</v>
      </c>
      <c r="E72" s="3" t="s">
        <v>44</v>
      </c>
      <c r="F72" s="5" t="s">
        <v>358</v>
      </c>
      <c r="G72" s="5" t="s">
        <v>359</v>
      </c>
      <c r="H72" s="5" t="s">
        <v>360</v>
      </c>
      <c r="I72" s="3" t="s">
        <v>18</v>
      </c>
      <c r="J72" s="3" t="s">
        <v>19</v>
      </c>
      <c r="K72" s="5" t="s">
        <v>20</v>
      </c>
    </row>
    <row r="73" customFormat="false" ht="60" hidden="false" customHeight="true" outlineLevel="0" collapsed="false">
      <c r="A73" s="3" t="n">
        <v>72</v>
      </c>
      <c r="B73" s="3" t="s">
        <v>287</v>
      </c>
      <c r="C73" s="4" t="s">
        <v>361</v>
      </c>
      <c r="D73" s="5" t="s">
        <v>362</v>
      </c>
      <c r="E73" s="3" t="s">
        <v>14</v>
      </c>
      <c r="F73" s="5" t="s">
        <v>340</v>
      </c>
      <c r="G73" s="5" t="s">
        <v>363</v>
      </c>
      <c r="H73" s="5" t="s">
        <v>364</v>
      </c>
      <c r="I73" s="3" t="s">
        <v>26</v>
      </c>
      <c r="J73" s="3" t="s">
        <v>19</v>
      </c>
      <c r="K73" s="5" t="s">
        <v>20</v>
      </c>
    </row>
    <row r="74" customFormat="false" ht="60" hidden="false" customHeight="true" outlineLevel="0" collapsed="false">
      <c r="A74" s="3" t="n">
        <v>73</v>
      </c>
      <c r="B74" s="3" t="s">
        <v>365</v>
      </c>
      <c r="C74" s="4" t="s">
        <v>366</v>
      </c>
      <c r="D74" s="5" t="s">
        <v>367</v>
      </c>
      <c r="E74" s="3" t="s">
        <v>14</v>
      </c>
      <c r="F74" s="5" t="s">
        <v>368</v>
      </c>
      <c r="G74" s="5" t="s">
        <v>369</v>
      </c>
      <c r="H74" s="5" t="s">
        <v>370</v>
      </c>
      <c r="I74" s="3" t="s">
        <v>18</v>
      </c>
      <c r="J74" s="3" t="s">
        <v>19</v>
      </c>
      <c r="K74" s="5" t="s">
        <v>20</v>
      </c>
    </row>
    <row r="75" customFormat="false" ht="60" hidden="false" customHeight="true" outlineLevel="0" collapsed="false">
      <c r="A75" s="3" t="n">
        <v>74</v>
      </c>
      <c r="B75" s="3" t="s">
        <v>365</v>
      </c>
      <c r="C75" s="4" t="s">
        <v>371</v>
      </c>
      <c r="D75" s="5" t="s">
        <v>372</v>
      </c>
      <c r="E75" s="3" t="s">
        <v>38</v>
      </c>
      <c r="F75" s="5" t="s">
        <v>373</v>
      </c>
      <c r="G75" s="5" t="s">
        <v>374</v>
      </c>
      <c r="H75" s="5" t="s">
        <v>375</v>
      </c>
      <c r="I75" s="3" t="s">
        <v>18</v>
      </c>
      <c r="J75" s="3" t="s">
        <v>19</v>
      </c>
      <c r="K75" s="5" t="s">
        <v>20</v>
      </c>
    </row>
    <row r="76" customFormat="false" ht="60" hidden="false" customHeight="true" outlineLevel="0" collapsed="false">
      <c r="A76" s="3" t="n">
        <v>75</v>
      </c>
      <c r="B76" s="3" t="s">
        <v>365</v>
      </c>
      <c r="C76" s="4" t="s">
        <v>376</v>
      </c>
      <c r="D76" s="5" t="s">
        <v>377</v>
      </c>
      <c r="E76" s="3" t="s">
        <v>38</v>
      </c>
      <c r="F76" s="5" t="s">
        <v>378</v>
      </c>
      <c r="G76" s="5" t="s">
        <v>379</v>
      </c>
      <c r="H76" s="5" t="s">
        <v>380</v>
      </c>
      <c r="I76" s="3" t="s">
        <v>18</v>
      </c>
      <c r="J76" s="3" t="s">
        <v>19</v>
      </c>
      <c r="K76" s="5" t="s">
        <v>20</v>
      </c>
    </row>
    <row r="77" customFormat="false" ht="60" hidden="false" customHeight="true" outlineLevel="0" collapsed="false">
      <c r="A77" s="3" t="n">
        <v>76</v>
      </c>
      <c r="B77" s="3" t="s">
        <v>365</v>
      </c>
      <c r="C77" s="4" t="s">
        <v>381</v>
      </c>
      <c r="D77" s="5" t="s">
        <v>382</v>
      </c>
      <c r="E77" s="3" t="s">
        <v>38</v>
      </c>
      <c r="F77" s="5" t="s">
        <v>383</v>
      </c>
      <c r="G77" s="5" t="s">
        <v>384</v>
      </c>
      <c r="H77" s="5" t="s">
        <v>385</v>
      </c>
      <c r="I77" s="3" t="s">
        <v>18</v>
      </c>
      <c r="J77" s="3" t="s">
        <v>19</v>
      </c>
      <c r="K77" s="5" t="s">
        <v>20</v>
      </c>
    </row>
    <row r="78" customFormat="false" ht="60" hidden="false" customHeight="true" outlineLevel="0" collapsed="false">
      <c r="A78" s="6" t="n">
        <v>77</v>
      </c>
      <c r="B78" s="6" t="s">
        <v>365</v>
      </c>
      <c r="C78" s="7" t="s">
        <v>386</v>
      </c>
      <c r="D78" s="8" t="s">
        <v>387</v>
      </c>
      <c r="E78" s="6" t="s">
        <v>14</v>
      </c>
      <c r="F78" s="8" t="s">
        <v>388</v>
      </c>
      <c r="G78" s="8" t="s">
        <v>389</v>
      </c>
      <c r="H78" s="8" t="s">
        <v>390</v>
      </c>
      <c r="I78" s="6" t="s">
        <v>18</v>
      </c>
      <c r="J78" s="6" t="s">
        <v>19</v>
      </c>
      <c r="K78" s="8" t="s">
        <v>20</v>
      </c>
    </row>
    <row r="79" customFormat="false" ht="60" hidden="false" customHeight="true" outlineLevel="0" collapsed="false">
      <c r="A79" s="6" t="n">
        <v>78</v>
      </c>
      <c r="B79" s="6" t="s">
        <v>365</v>
      </c>
      <c r="C79" s="7" t="s">
        <v>391</v>
      </c>
      <c r="D79" s="8" t="s">
        <v>392</v>
      </c>
      <c r="E79" s="6" t="s">
        <v>14</v>
      </c>
      <c r="F79" s="8" t="s">
        <v>393</v>
      </c>
      <c r="G79" s="8" t="s">
        <v>394</v>
      </c>
      <c r="H79" s="8" t="s">
        <v>395</v>
      </c>
      <c r="I79" s="6" t="s">
        <v>18</v>
      </c>
      <c r="J79" s="6" t="s">
        <v>19</v>
      </c>
      <c r="K79" s="8" t="s">
        <v>20</v>
      </c>
    </row>
    <row r="80" customFormat="false" ht="60" hidden="false" customHeight="true" outlineLevel="0" collapsed="false">
      <c r="A80" s="6" t="n">
        <v>79</v>
      </c>
      <c r="B80" s="6" t="s">
        <v>365</v>
      </c>
      <c r="C80" s="7" t="s">
        <v>396</v>
      </c>
      <c r="D80" s="8" t="s">
        <v>397</v>
      </c>
      <c r="E80" s="6" t="s">
        <v>14</v>
      </c>
      <c r="F80" s="8" t="s">
        <v>398</v>
      </c>
      <c r="G80" s="8" t="s">
        <v>399</v>
      </c>
      <c r="H80" s="8" t="s">
        <v>400</v>
      </c>
      <c r="I80" s="6" t="s">
        <v>18</v>
      </c>
      <c r="J80" s="6" t="s">
        <v>19</v>
      </c>
      <c r="K80" s="8" t="s">
        <v>20</v>
      </c>
    </row>
    <row r="81" customFormat="false" ht="60" hidden="false" customHeight="true" outlineLevel="0" collapsed="false">
      <c r="A81" s="3" t="n">
        <v>80</v>
      </c>
      <c r="B81" s="3" t="s">
        <v>365</v>
      </c>
      <c r="C81" s="4" t="s">
        <v>401</v>
      </c>
      <c r="D81" s="5" t="s">
        <v>402</v>
      </c>
      <c r="E81" s="3" t="s">
        <v>38</v>
      </c>
      <c r="F81" s="5" t="s">
        <v>403</v>
      </c>
      <c r="G81" s="5" t="s">
        <v>404</v>
      </c>
      <c r="H81" s="5" t="s">
        <v>405</v>
      </c>
      <c r="I81" s="3" t="s">
        <v>18</v>
      </c>
      <c r="J81" s="3" t="s">
        <v>19</v>
      </c>
      <c r="K81" s="5" t="s">
        <v>20</v>
      </c>
    </row>
    <row r="82" customFormat="false" ht="60" hidden="false" customHeight="true" outlineLevel="0" collapsed="false">
      <c r="A82" s="3" t="n">
        <v>81</v>
      </c>
      <c r="B82" s="3" t="s">
        <v>365</v>
      </c>
      <c r="C82" s="4" t="s">
        <v>406</v>
      </c>
      <c r="D82" s="5" t="s">
        <v>407</v>
      </c>
      <c r="E82" s="3" t="s">
        <v>33</v>
      </c>
      <c r="F82" s="5" t="s">
        <v>408</v>
      </c>
      <c r="G82" s="5" t="s">
        <v>409</v>
      </c>
      <c r="H82" s="5" t="s">
        <v>410</v>
      </c>
      <c r="I82" s="3" t="s">
        <v>18</v>
      </c>
      <c r="J82" s="3" t="s">
        <v>19</v>
      </c>
      <c r="K82" s="5" t="s">
        <v>20</v>
      </c>
    </row>
    <row r="83" customFormat="false" ht="60" hidden="false" customHeight="true" outlineLevel="0" collapsed="false">
      <c r="A83" s="3" t="n">
        <v>82</v>
      </c>
      <c r="B83" s="3" t="s">
        <v>365</v>
      </c>
      <c r="C83" s="4" t="s">
        <v>411</v>
      </c>
      <c r="D83" s="5" t="s">
        <v>412</v>
      </c>
      <c r="E83" s="3" t="s">
        <v>14</v>
      </c>
      <c r="F83" s="5" t="s">
        <v>413</v>
      </c>
      <c r="G83" s="5" t="s">
        <v>414</v>
      </c>
      <c r="H83" s="5" t="s">
        <v>415</v>
      </c>
      <c r="I83" s="3" t="s">
        <v>18</v>
      </c>
      <c r="J83" s="3" t="s">
        <v>19</v>
      </c>
      <c r="K83" s="5" t="s">
        <v>20</v>
      </c>
    </row>
    <row r="84" customFormat="false" ht="60" hidden="false" customHeight="true" outlineLevel="0" collapsed="false">
      <c r="A84" s="6" t="n">
        <v>83</v>
      </c>
      <c r="B84" s="6" t="s">
        <v>365</v>
      </c>
      <c r="C84" s="7" t="s">
        <v>416</v>
      </c>
      <c r="D84" s="8" t="s">
        <v>417</v>
      </c>
      <c r="E84" s="6" t="s">
        <v>44</v>
      </c>
      <c r="F84" s="8" t="s">
        <v>413</v>
      </c>
      <c r="G84" s="8" t="s">
        <v>418</v>
      </c>
      <c r="H84" s="8" t="s">
        <v>419</v>
      </c>
      <c r="I84" s="6" t="s">
        <v>18</v>
      </c>
      <c r="J84" s="6" t="s">
        <v>19</v>
      </c>
      <c r="K84" s="8" t="s">
        <v>20</v>
      </c>
    </row>
    <row r="85" customFormat="false" ht="60" hidden="false" customHeight="true" outlineLevel="0" collapsed="false">
      <c r="A85" s="6" t="n">
        <v>84</v>
      </c>
      <c r="B85" s="6" t="s">
        <v>365</v>
      </c>
      <c r="C85" s="7" t="s">
        <v>420</v>
      </c>
      <c r="D85" s="8" t="s">
        <v>421</v>
      </c>
      <c r="E85" s="6" t="s">
        <v>44</v>
      </c>
      <c r="F85" s="8" t="s">
        <v>422</v>
      </c>
      <c r="G85" s="8" t="s">
        <v>423</v>
      </c>
      <c r="H85" s="8" t="s">
        <v>424</v>
      </c>
      <c r="I85" s="6" t="s">
        <v>18</v>
      </c>
      <c r="J85" s="6" t="s">
        <v>19</v>
      </c>
      <c r="K85" s="8" t="s">
        <v>20</v>
      </c>
    </row>
    <row r="86" customFormat="false" ht="15.75" hidden="false" customHeight="true" outlineLevel="0" collapsed="false"/>
    <row r="87" customFormat="false" ht="15.75" hidden="false" customHeight="true" outlineLevel="0" collapsed="false">
      <c r="A87" s="9" t="s">
        <v>425</v>
      </c>
      <c r="B87" s="9"/>
      <c r="C87" s="9"/>
      <c r="D87" s="9"/>
      <c r="E87" s="9"/>
      <c r="F87" s="9"/>
      <c r="G87" s="9"/>
      <c r="H87" s="9"/>
      <c r="I87" s="9"/>
      <c r="J87" s="9"/>
      <c r="K87" s="9"/>
    </row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87:K87"/>
  </mergeCells>
  <conditionalFormatting sqref="E2:E1000">
    <cfRule type="cellIs" priority="2" operator="equal" aboveAverage="0" equalAverage="0" bottom="0" percent="0" rank="0" text="" dxfId="10">
      <formula>"P00"</formula>
    </cfRule>
    <cfRule type="cellIs" priority="3" operator="equal" aboveAverage="0" equalAverage="0" bottom="0" percent="0" rank="0" text="" dxfId="11">
      <formula>"P0"</formula>
    </cfRule>
    <cfRule type="cellIs" priority="4" operator="equal" aboveAverage="0" equalAverage="0" bottom="0" percent="0" rank="0" text="" dxfId="12">
      <formula>"P1"</formula>
    </cfRule>
    <cfRule type="cellIs" priority="5" operator="equal" aboveAverage="0" equalAverage="0" bottom="0" percent="0" rank="0" text="" dxfId="13">
      <formula>"P2"</formula>
    </cfRule>
    <cfRule type="cellIs" priority="6" operator="equal" aboveAverage="0" equalAverage="0" bottom="0" percent="0" rank="0" text="" dxfId="14">
      <formula>"P3"</formula>
    </cfRule>
  </conditionalFormatting>
  <conditionalFormatting sqref="J2:J1000">
    <cfRule type="cellIs" priority="7" operator="equal" aboveAverage="0" equalAverage="0" bottom="0" percent="0" rank="0" text="" dxfId="15">
      <formula>"Not Tested"</formula>
    </cfRule>
    <cfRule type="cellIs" priority="8" operator="equal" aboveAverage="0" equalAverage="0" bottom="0" percent="0" rank="0" text="" dxfId="16">
      <formula>"In Progress"</formula>
    </cfRule>
    <cfRule type="cellIs" priority="9" operator="equal" aboveAverage="0" equalAverage="0" bottom="0" percent="0" rank="0" text="" dxfId="17">
      <formula>"Failed"</formula>
    </cfRule>
    <cfRule type="cellIs" priority="10" operator="equal" aboveAverage="0" equalAverage="0" bottom="0" percent="0" rank="0" text="" dxfId="18">
      <formula>"Passed"</formula>
    </cfRule>
    <cfRule type="cellIs" priority="11" operator="equal" aboveAverage="0" equalAverage="0" bottom="0" percent="0" rank="0" text="" dxfId="19">
      <formula>"Blocked"</formula>
    </cfRule>
  </conditionalFormatting>
  <dataValidations count="9">
    <dataValidation allowBlank="true" errorStyle="stop" operator="between" showDropDown="false" showErrorMessage="false" showInputMessage="false" sqref="B2:B85" type="list">
      <formula1>"Autentikasi,Master Data,Penjadwalan,Laporan"</formula1>
      <formula2>0</formula2>
    </dataValidation>
    <dataValidation allowBlank="true" errorStyle="stop" operator="between" showDropDown="false" showErrorMessage="false" showInputMessage="false" sqref="B88:B300" type="list">
      <formula1>"Autentikasi,Master Data,Penjadwalan,Laporan"</formula1>
      <formula2>0</formula2>
    </dataValidation>
    <dataValidation allowBlank="true" errorStyle="stop" operator="between" showDropDown="false" showErrorMessage="false" showInputMessage="false" sqref="E2:E85" type="list">
      <formula1>"P00,P0,P1,P2,P3"</formula1>
      <formula2>0</formula2>
    </dataValidation>
    <dataValidation allowBlank="true" errorStyle="stop" operator="between" showDropDown="false" showErrorMessage="false" showInputMessage="false" sqref="E88:E300" type="list">
      <formula1>"P00,P0,P1,P2,P3"</formula1>
      <formula2>0</formula2>
    </dataValidation>
    <dataValidation allowBlank="true" errorStyle="stop" operator="between" showDropDown="false" showErrorMessage="false" showInputMessage="false" sqref="I2:I85" type="list">
      <formula1>"Manual,Automation,API"</formula1>
      <formula2>0</formula2>
    </dataValidation>
    <dataValidation allowBlank="true" errorStyle="stop" operator="between" showDropDown="false" showErrorMessage="false" showInputMessage="false" sqref="I88:I300" type="list">
      <formula1>"Manual,Automation,API"</formula1>
      <formula2>0</formula2>
    </dataValidation>
    <dataValidation allowBlank="true" errorStyle="stop" operator="between" showDropDown="false" showErrorMessage="false" showInputMessage="false" sqref="J2:J85" type="list">
      <formula1>"Not Tested,In Progress,Failed,Passed,Blocked"</formula1>
      <formula2>0</formula2>
    </dataValidation>
    <dataValidation allowBlank="true" errorStyle="stop" operator="between" showDropDown="false" showErrorMessage="false" showInputMessage="false" sqref="J88:J300" type="list">
      <formula1>"Not Tested,In Progress,Failed,Passed,Blocked"</formula1>
      <formula2>0</formula2>
    </dataValidation>
    <dataValidation allowBlank="true" errorStyle="stop" operator="between" showDropDown="false" showErrorMessage="false" showInputMessage="false" sqref="A2:A85 A88:A300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.29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2.86"/>
    <col collapsed="false" customWidth="true" hidden="false" outlineLevel="0" max="6" min="6" style="0" width="30.14"/>
    <col collapsed="false" customWidth="true" hidden="false" outlineLevel="0" max="7" min="7" style="0" width="42"/>
    <col collapsed="false" customWidth="true" hidden="false" outlineLevel="0" max="8" min="8" style="0" width="34"/>
    <col collapsed="false" customWidth="true" hidden="false" outlineLevel="0" max="9" min="9" style="0" width="14.71"/>
    <col collapsed="false" customWidth="true" hidden="false" outlineLevel="0" max="10" min="10" style="0" width="16.43"/>
    <col collapsed="false" customWidth="true" hidden="false" outlineLevel="0" max="11" min="11" style="0" width="22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60" hidden="false" customHeight="true" outlineLevel="0" collapsed="false">
      <c r="A2" s="6" t="n">
        <v>1</v>
      </c>
      <c r="B2" s="6" t="s">
        <v>11</v>
      </c>
      <c r="C2" s="7" t="s">
        <v>426</v>
      </c>
      <c r="D2" s="8" t="s">
        <v>427</v>
      </c>
      <c r="E2" s="6" t="s">
        <v>38</v>
      </c>
      <c r="F2" s="8" t="s">
        <v>428</v>
      </c>
      <c r="G2" s="8" t="s">
        <v>429</v>
      </c>
      <c r="H2" s="8" t="s">
        <v>430</v>
      </c>
      <c r="I2" s="6" t="s">
        <v>431</v>
      </c>
      <c r="J2" s="6" t="s">
        <v>19</v>
      </c>
      <c r="K2" s="8" t="s">
        <v>20</v>
      </c>
    </row>
    <row r="3" customFormat="false" ht="60" hidden="false" customHeight="true" outlineLevel="0" collapsed="false">
      <c r="A3" s="6" t="n">
        <v>2</v>
      </c>
      <c r="B3" s="6" t="s">
        <v>11</v>
      </c>
      <c r="C3" s="7" t="s">
        <v>432</v>
      </c>
      <c r="D3" s="8" t="s">
        <v>433</v>
      </c>
      <c r="E3" s="6" t="s">
        <v>14</v>
      </c>
      <c r="F3" s="8" t="s">
        <v>434</v>
      </c>
      <c r="G3" s="8" t="s">
        <v>435</v>
      </c>
      <c r="H3" s="8" t="s">
        <v>436</v>
      </c>
      <c r="I3" s="6" t="s">
        <v>431</v>
      </c>
      <c r="J3" s="6" t="s">
        <v>19</v>
      </c>
      <c r="K3" s="8" t="s">
        <v>20</v>
      </c>
    </row>
    <row r="4" customFormat="false" ht="60" hidden="false" customHeight="true" outlineLevel="0" collapsed="false">
      <c r="A4" s="6" t="n">
        <v>3</v>
      </c>
      <c r="B4" s="6" t="s">
        <v>11</v>
      </c>
      <c r="C4" s="7" t="s">
        <v>437</v>
      </c>
      <c r="D4" s="8" t="s">
        <v>438</v>
      </c>
      <c r="E4" s="6" t="s">
        <v>14</v>
      </c>
      <c r="F4" s="8" t="s">
        <v>434</v>
      </c>
      <c r="G4" s="8" t="s">
        <v>439</v>
      </c>
      <c r="H4" s="8" t="s">
        <v>440</v>
      </c>
      <c r="I4" s="6" t="s">
        <v>431</v>
      </c>
      <c r="J4" s="6" t="s">
        <v>19</v>
      </c>
      <c r="K4" s="8" t="s">
        <v>20</v>
      </c>
    </row>
    <row r="5" customFormat="false" ht="60" hidden="false" customHeight="true" outlineLevel="0" collapsed="false">
      <c r="A5" s="6" t="n">
        <v>4</v>
      </c>
      <c r="B5" s="6" t="s">
        <v>11</v>
      </c>
      <c r="C5" s="7" t="s">
        <v>441</v>
      </c>
      <c r="D5" s="8" t="s">
        <v>442</v>
      </c>
      <c r="E5" s="6" t="s">
        <v>33</v>
      </c>
      <c r="F5" s="8" t="s">
        <v>434</v>
      </c>
      <c r="G5" s="8" t="s">
        <v>443</v>
      </c>
      <c r="H5" s="8" t="s">
        <v>444</v>
      </c>
      <c r="I5" s="6" t="s">
        <v>431</v>
      </c>
      <c r="J5" s="6" t="s">
        <v>19</v>
      </c>
      <c r="K5" s="8" t="s">
        <v>20</v>
      </c>
    </row>
    <row r="6" customFormat="false" ht="60" hidden="false" customHeight="true" outlineLevel="0" collapsed="false">
      <c r="A6" s="6" t="n">
        <v>5</v>
      </c>
      <c r="B6" s="6" t="s">
        <v>11</v>
      </c>
      <c r="C6" s="7" t="s">
        <v>445</v>
      </c>
      <c r="D6" s="8" t="s">
        <v>446</v>
      </c>
      <c r="E6" s="6" t="s">
        <v>38</v>
      </c>
      <c r="F6" s="8" t="s">
        <v>447</v>
      </c>
      <c r="G6" s="8" t="s">
        <v>448</v>
      </c>
      <c r="H6" s="8" t="s">
        <v>449</v>
      </c>
      <c r="I6" s="6" t="s">
        <v>431</v>
      </c>
      <c r="J6" s="6" t="s">
        <v>19</v>
      </c>
      <c r="K6" s="8" t="s">
        <v>20</v>
      </c>
    </row>
    <row r="7" customFormat="false" ht="60" hidden="false" customHeight="true" outlineLevel="0" collapsed="false">
      <c r="A7" s="6" t="n">
        <v>6</v>
      </c>
      <c r="B7" s="6" t="s">
        <v>11</v>
      </c>
      <c r="C7" s="7" t="s">
        <v>450</v>
      </c>
      <c r="D7" s="8" t="s">
        <v>451</v>
      </c>
      <c r="E7" s="6" t="s">
        <v>14</v>
      </c>
      <c r="F7" s="8" t="s">
        <v>452</v>
      </c>
      <c r="G7" s="8" t="s">
        <v>453</v>
      </c>
      <c r="H7" s="8" t="s">
        <v>454</v>
      </c>
      <c r="I7" s="6" t="s">
        <v>431</v>
      </c>
      <c r="J7" s="6" t="s">
        <v>19</v>
      </c>
      <c r="K7" s="8" t="s">
        <v>20</v>
      </c>
    </row>
    <row r="8" customFormat="false" ht="60" hidden="false" customHeight="true" outlineLevel="0" collapsed="false">
      <c r="A8" s="6" t="n">
        <v>7</v>
      </c>
      <c r="B8" s="6" t="s">
        <v>66</v>
      </c>
      <c r="C8" s="7" t="s">
        <v>455</v>
      </c>
      <c r="D8" s="8" t="s">
        <v>456</v>
      </c>
      <c r="E8" s="6" t="s">
        <v>38</v>
      </c>
      <c r="F8" s="8" t="s">
        <v>457</v>
      </c>
      <c r="G8" s="8" t="s">
        <v>458</v>
      </c>
      <c r="H8" s="8" t="s">
        <v>459</v>
      </c>
      <c r="I8" s="6" t="s">
        <v>431</v>
      </c>
      <c r="J8" s="6" t="s">
        <v>19</v>
      </c>
      <c r="K8" s="8" t="s">
        <v>20</v>
      </c>
    </row>
    <row r="9" customFormat="false" ht="60" hidden="false" customHeight="true" outlineLevel="0" collapsed="false">
      <c r="A9" s="6" t="n">
        <v>8</v>
      </c>
      <c r="B9" s="6" t="s">
        <v>66</v>
      </c>
      <c r="C9" s="7" t="s">
        <v>460</v>
      </c>
      <c r="D9" s="8" t="s">
        <v>461</v>
      </c>
      <c r="E9" s="6" t="s">
        <v>14</v>
      </c>
      <c r="F9" s="8" t="s">
        <v>462</v>
      </c>
      <c r="G9" s="8" t="s">
        <v>463</v>
      </c>
      <c r="H9" s="8" t="s">
        <v>464</v>
      </c>
      <c r="I9" s="6" t="s">
        <v>431</v>
      </c>
      <c r="J9" s="6" t="s">
        <v>19</v>
      </c>
      <c r="K9" s="8" t="s">
        <v>20</v>
      </c>
    </row>
    <row r="10" customFormat="false" ht="60" hidden="false" customHeight="true" outlineLevel="0" collapsed="false">
      <c r="A10" s="6" t="n">
        <v>9</v>
      </c>
      <c r="B10" s="6" t="s">
        <v>66</v>
      </c>
      <c r="C10" s="7" t="s">
        <v>465</v>
      </c>
      <c r="D10" s="8" t="s">
        <v>466</v>
      </c>
      <c r="E10" s="6" t="s">
        <v>14</v>
      </c>
      <c r="F10" s="8" t="s">
        <v>467</v>
      </c>
      <c r="G10" s="8" t="s">
        <v>468</v>
      </c>
      <c r="H10" s="8" t="s">
        <v>469</v>
      </c>
      <c r="I10" s="6" t="s">
        <v>431</v>
      </c>
      <c r="J10" s="6" t="s">
        <v>19</v>
      </c>
      <c r="K10" s="8" t="s">
        <v>20</v>
      </c>
    </row>
    <row r="11" customFormat="false" ht="60" hidden="false" customHeight="true" outlineLevel="0" collapsed="false">
      <c r="A11" s="6" t="n">
        <v>10</v>
      </c>
      <c r="B11" s="6" t="s">
        <v>66</v>
      </c>
      <c r="C11" s="7" t="s">
        <v>470</v>
      </c>
      <c r="D11" s="8" t="s">
        <v>471</v>
      </c>
      <c r="E11" s="6" t="s">
        <v>103</v>
      </c>
      <c r="F11" s="8" t="s">
        <v>472</v>
      </c>
      <c r="G11" s="8" t="s">
        <v>473</v>
      </c>
      <c r="H11" s="8" t="s">
        <v>474</v>
      </c>
      <c r="I11" s="6" t="s">
        <v>431</v>
      </c>
      <c r="J11" s="6" t="s">
        <v>19</v>
      </c>
      <c r="K11" s="8" t="s">
        <v>20</v>
      </c>
    </row>
    <row r="12" customFormat="false" ht="60" hidden="false" customHeight="true" outlineLevel="0" collapsed="false">
      <c r="A12" s="6" t="n">
        <v>11</v>
      </c>
      <c r="B12" s="6" t="s">
        <v>66</v>
      </c>
      <c r="C12" s="7" t="s">
        <v>475</v>
      </c>
      <c r="D12" s="8" t="s">
        <v>476</v>
      </c>
      <c r="E12" s="6" t="s">
        <v>38</v>
      </c>
      <c r="F12" s="8" t="s">
        <v>477</v>
      </c>
      <c r="G12" s="8" t="s">
        <v>478</v>
      </c>
      <c r="H12" s="8" t="s">
        <v>479</v>
      </c>
      <c r="I12" s="6" t="s">
        <v>431</v>
      </c>
      <c r="J12" s="6" t="s">
        <v>19</v>
      </c>
      <c r="K12" s="8" t="s">
        <v>20</v>
      </c>
    </row>
    <row r="13" customFormat="false" ht="60" hidden="false" customHeight="true" outlineLevel="0" collapsed="false">
      <c r="A13" s="6" t="n">
        <v>12</v>
      </c>
      <c r="B13" s="6" t="s">
        <v>66</v>
      </c>
      <c r="C13" s="7" t="s">
        <v>480</v>
      </c>
      <c r="D13" s="8" t="s">
        <v>481</v>
      </c>
      <c r="E13" s="6" t="s">
        <v>14</v>
      </c>
      <c r="F13" s="8" t="s">
        <v>482</v>
      </c>
      <c r="G13" s="8" t="s">
        <v>483</v>
      </c>
      <c r="H13" s="8" t="s">
        <v>484</v>
      </c>
      <c r="I13" s="6" t="s">
        <v>431</v>
      </c>
      <c r="J13" s="6" t="s">
        <v>19</v>
      </c>
      <c r="K13" s="8" t="s">
        <v>20</v>
      </c>
    </row>
    <row r="14" customFormat="false" ht="60" hidden="false" customHeight="true" outlineLevel="0" collapsed="false">
      <c r="A14" s="6" t="n">
        <v>13</v>
      </c>
      <c r="B14" s="6" t="s">
        <v>66</v>
      </c>
      <c r="C14" s="7" t="s">
        <v>485</v>
      </c>
      <c r="D14" s="8" t="s">
        <v>486</v>
      </c>
      <c r="E14" s="6" t="s">
        <v>33</v>
      </c>
      <c r="F14" s="8" t="s">
        <v>457</v>
      </c>
      <c r="G14" s="8" t="s">
        <v>487</v>
      </c>
      <c r="H14" s="8" t="s">
        <v>488</v>
      </c>
      <c r="I14" s="6" t="s">
        <v>431</v>
      </c>
      <c r="J14" s="6" t="s">
        <v>19</v>
      </c>
      <c r="K14" s="8" t="s">
        <v>20</v>
      </c>
    </row>
    <row r="15" customFormat="false" ht="60" hidden="false" customHeight="true" outlineLevel="0" collapsed="false">
      <c r="A15" s="6" t="n">
        <v>14</v>
      </c>
      <c r="B15" s="6" t="s">
        <v>66</v>
      </c>
      <c r="C15" s="7" t="s">
        <v>489</v>
      </c>
      <c r="D15" s="8" t="s">
        <v>490</v>
      </c>
      <c r="E15" s="6" t="s">
        <v>14</v>
      </c>
      <c r="F15" s="8" t="s">
        <v>457</v>
      </c>
      <c r="G15" s="8" t="s">
        <v>491</v>
      </c>
      <c r="H15" s="8" t="s">
        <v>492</v>
      </c>
      <c r="I15" s="6" t="s">
        <v>431</v>
      </c>
      <c r="J15" s="6" t="s">
        <v>19</v>
      </c>
      <c r="K15" s="8" t="s">
        <v>20</v>
      </c>
    </row>
    <row r="16" customFormat="false" ht="60" hidden="false" customHeight="true" outlineLevel="0" collapsed="false">
      <c r="A16" s="6" t="n">
        <v>15</v>
      </c>
      <c r="B16" s="6" t="s">
        <v>66</v>
      </c>
      <c r="C16" s="7" t="s">
        <v>493</v>
      </c>
      <c r="D16" s="8" t="s">
        <v>494</v>
      </c>
      <c r="E16" s="6" t="s">
        <v>38</v>
      </c>
      <c r="F16" s="8" t="s">
        <v>457</v>
      </c>
      <c r="G16" s="8" t="s">
        <v>495</v>
      </c>
      <c r="H16" s="8" t="s">
        <v>496</v>
      </c>
      <c r="I16" s="6" t="s">
        <v>431</v>
      </c>
      <c r="J16" s="6" t="s">
        <v>19</v>
      </c>
      <c r="K16" s="8" t="s">
        <v>20</v>
      </c>
    </row>
    <row r="17" customFormat="false" ht="60" hidden="false" customHeight="true" outlineLevel="0" collapsed="false">
      <c r="A17" s="6" t="n">
        <v>16</v>
      </c>
      <c r="B17" s="6" t="s">
        <v>66</v>
      </c>
      <c r="C17" s="7" t="s">
        <v>497</v>
      </c>
      <c r="D17" s="8" t="s">
        <v>498</v>
      </c>
      <c r="E17" s="6" t="s">
        <v>38</v>
      </c>
      <c r="F17" s="8" t="s">
        <v>499</v>
      </c>
      <c r="G17" s="8" t="s">
        <v>500</v>
      </c>
      <c r="H17" s="8" t="s">
        <v>501</v>
      </c>
      <c r="I17" s="6" t="s">
        <v>431</v>
      </c>
      <c r="J17" s="6" t="s">
        <v>19</v>
      </c>
      <c r="K17" s="8" t="s">
        <v>20</v>
      </c>
    </row>
    <row r="18" customFormat="false" ht="60" hidden="false" customHeight="true" outlineLevel="0" collapsed="false">
      <c r="A18" s="6" t="n">
        <v>17</v>
      </c>
      <c r="B18" s="6" t="s">
        <v>66</v>
      </c>
      <c r="C18" s="7" t="s">
        <v>502</v>
      </c>
      <c r="D18" s="8" t="s">
        <v>503</v>
      </c>
      <c r="E18" s="6" t="s">
        <v>14</v>
      </c>
      <c r="F18" s="8" t="s">
        <v>457</v>
      </c>
      <c r="G18" s="8" t="s">
        <v>504</v>
      </c>
      <c r="H18" s="8" t="s">
        <v>505</v>
      </c>
      <c r="I18" s="6" t="s">
        <v>431</v>
      </c>
      <c r="J18" s="6" t="s">
        <v>19</v>
      </c>
      <c r="K18" s="8" t="s">
        <v>20</v>
      </c>
    </row>
    <row r="19" customFormat="false" ht="60" hidden="false" customHeight="true" outlineLevel="0" collapsed="false">
      <c r="A19" s="6" t="n">
        <v>18</v>
      </c>
      <c r="B19" s="6" t="s">
        <v>66</v>
      </c>
      <c r="C19" s="7" t="s">
        <v>506</v>
      </c>
      <c r="D19" s="8" t="s">
        <v>507</v>
      </c>
      <c r="E19" s="6" t="s">
        <v>14</v>
      </c>
      <c r="F19" s="8" t="s">
        <v>457</v>
      </c>
      <c r="G19" s="8" t="s">
        <v>508</v>
      </c>
      <c r="H19" s="8" t="s">
        <v>509</v>
      </c>
      <c r="I19" s="6" t="s">
        <v>431</v>
      </c>
      <c r="J19" s="6" t="s">
        <v>19</v>
      </c>
      <c r="K19" s="8" t="s">
        <v>20</v>
      </c>
    </row>
    <row r="20" customFormat="false" ht="60" hidden="false" customHeight="true" outlineLevel="0" collapsed="false">
      <c r="A20" s="6" t="n">
        <v>19</v>
      </c>
      <c r="B20" s="6" t="s">
        <v>66</v>
      </c>
      <c r="C20" s="7" t="s">
        <v>510</v>
      </c>
      <c r="D20" s="8" t="s">
        <v>511</v>
      </c>
      <c r="E20" s="6" t="s">
        <v>14</v>
      </c>
      <c r="F20" s="8" t="s">
        <v>457</v>
      </c>
      <c r="G20" s="8" t="s">
        <v>512</v>
      </c>
      <c r="H20" s="8" t="s">
        <v>513</v>
      </c>
      <c r="I20" s="6" t="s">
        <v>431</v>
      </c>
      <c r="J20" s="6" t="s">
        <v>19</v>
      </c>
      <c r="K20" s="8" t="s">
        <v>20</v>
      </c>
    </row>
    <row r="21" customFormat="false" ht="60" hidden="false" customHeight="true" outlineLevel="0" collapsed="false">
      <c r="A21" s="6" t="n">
        <v>20</v>
      </c>
      <c r="B21" s="6" t="s">
        <v>287</v>
      </c>
      <c r="C21" s="7" t="s">
        <v>514</v>
      </c>
      <c r="D21" s="8" t="s">
        <v>515</v>
      </c>
      <c r="E21" s="6" t="s">
        <v>38</v>
      </c>
      <c r="F21" s="8" t="s">
        <v>516</v>
      </c>
      <c r="G21" s="8" t="s">
        <v>517</v>
      </c>
      <c r="H21" s="8" t="s">
        <v>518</v>
      </c>
      <c r="I21" s="6" t="s">
        <v>431</v>
      </c>
      <c r="J21" s="6" t="s">
        <v>19</v>
      </c>
      <c r="K21" s="8" t="s">
        <v>20</v>
      </c>
    </row>
    <row r="22" customFormat="false" ht="60" hidden="false" customHeight="true" outlineLevel="0" collapsed="false">
      <c r="A22" s="6" t="n">
        <v>21</v>
      </c>
      <c r="B22" s="6" t="s">
        <v>287</v>
      </c>
      <c r="C22" s="7" t="s">
        <v>519</v>
      </c>
      <c r="D22" s="8" t="s">
        <v>520</v>
      </c>
      <c r="E22" s="6" t="s">
        <v>103</v>
      </c>
      <c r="F22" s="8" t="s">
        <v>315</v>
      </c>
      <c r="G22" s="8" t="s">
        <v>521</v>
      </c>
      <c r="H22" s="8" t="s">
        <v>522</v>
      </c>
      <c r="I22" s="6" t="s">
        <v>431</v>
      </c>
      <c r="J22" s="6" t="s">
        <v>19</v>
      </c>
      <c r="K22" s="8" t="s">
        <v>20</v>
      </c>
    </row>
    <row r="23" customFormat="false" ht="60" hidden="false" customHeight="true" outlineLevel="0" collapsed="false">
      <c r="A23" s="6" t="n">
        <v>22</v>
      </c>
      <c r="B23" s="6" t="s">
        <v>287</v>
      </c>
      <c r="C23" s="7" t="s">
        <v>523</v>
      </c>
      <c r="D23" s="8" t="s">
        <v>524</v>
      </c>
      <c r="E23" s="6" t="s">
        <v>103</v>
      </c>
      <c r="F23" s="8" t="s">
        <v>525</v>
      </c>
      <c r="G23" s="8" t="s">
        <v>526</v>
      </c>
      <c r="H23" s="8" t="s">
        <v>527</v>
      </c>
      <c r="I23" s="6" t="s">
        <v>431</v>
      </c>
      <c r="J23" s="6" t="s">
        <v>19</v>
      </c>
      <c r="K23" s="8" t="s">
        <v>20</v>
      </c>
    </row>
    <row r="24" customFormat="false" ht="60" hidden="false" customHeight="true" outlineLevel="0" collapsed="false">
      <c r="A24" s="6" t="n">
        <v>23</v>
      </c>
      <c r="B24" s="6" t="s">
        <v>287</v>
      </c>
      <c r="C24" s="7" t="s">
        <v>528</v>
      </c>
      <c r="D24" s="8" t="s">
        <v>529</v>
      </c>
      <c r="E24" s="6" t="s">
        <v>103</v>
      </c>
      <c r="F24" s="8" t="s">
        <v>530</v>
      </c>
      <c r="G24" s="8" t="s">
        <v>531</v>
      </c>
      <c r="H24" s="8" t="s">
        <v>532</v>
      </c>
      <c r="I24" s="6" t="s">
        <v>431</v>
      </c>
      <c r="J24" s="6" t="s">
        <v>19</v>
      </c>
      <c r="K24" s="8" t="s">
        <v>20</v>
      </c>
    </row>
    <row r="25" customFormat="false" ht="60" hidden="false" customHeight="true" outlineLevel="0" collapsed="false">
      <c r="A25" s="6" t="n">
        <v>24</v>
      </c>
      <c r="B25" s="6" t="s">
        <v>287</v>
      </c>
      <c r="C25" s="7" t="s">
        <v>533</v>
      </c>
      <c r="D25" s="8" t="s">
        <v>534</v>
      </c>
      <c r="E25" s="6" t="s">
        <v>103</v>
      </c>
      <c r="F25" s="8" t="s">
        <v>535</v>
      </c>
      <c r="G25" s="8" t="s">
        <v>536</v>
      </c>
      <c r="H25" s="8" t="s">
        <v>537</v>
      </c>
      <c r="I25" s="6" t="s">
        <v>431</v>
      </c>
      <c r="J25" s="6" t="s">
        <v>19</v>
      </c>
      <c r="K25" s="8" t="s">
        <v>20</v>
      </c>
    </row>
    <row r="26" customFormat="false" ht="60" hidden="false" customHeight="true" outlineLevel="0" collapsed="false">
      <c r="A26" s="6" t="n">
        <v>25</v>
      </c>
      <c r="B26" s="6" t="s">
        <v>287</v>
      </c>
      <c r="C26" s="7" t="s">
        <v>538</v>
      </c>
      <c r="D26" s="8" t="s">
        <v>539</v>
      </c>
      <c r="E26" s="6" t="s">
        <v>14</v>
      </c>
      <c r="F26" s="8" t="s">
        <v>540</v>
      </c>
      <c r="G26" s="8" t="s">
        <v>541</v>
      </c>
      <c r="H26" s="8" t="s">
        <v>542</v>
      </c>
      <c r="I26" s="6" t="s">
        <v>431</v>
      </c>
      <c r="J26" s="6" t="s">
        <v>19</v>
      </c>
      <c r="K26" s="8" t="s">
        <v>20</v>
      </c>
    </row>
    <row r="27" customFormat="false" ht="60" hidden="false" customHeight="true" outlineLevel="0" collapsed="false">
      <c r="A27" s="6" t="n">
        <v>26</v>
      </c>
      <c r="B27" s="6" t="s">
        <v>287</v>
      </c>
      <c r="C27" s="7" t="s">
        <v>543</v>
      </c>
      <c r="D27" s="8" t="s">
        <v>544</v>
      </c>
      <c r="E27" s="6" t="s">
        <v>33</v>
      </c>
      <c r="F27" s="8" t="s">
        <v>335</v>
      </c>
      <c r="G27" s="8" t="s">
        <v>545</v>
      </c>
      <c r="H27" s="8" t="s">
        <v>546</v>
      </c>
      <c r="I27" s="6" t="s">
        <v>431</v>
      </c>
      <c r="J27" s="6" t="s">
        <v>19</v>
      </c>
      <c r="K27" s="8" t="s">
        <v>20</v>
      </c>
    </row>
    <row r="28" customFormat="false" ht="60" hidden="false" customHeight="true" outlineLevel="0" collapsed="false">
      <c r="A28" s="6" t="n">
        <v>27</v>
      </c>
      <c r="B28" s="6" t="s">
        <v>365</v>
      </c>
      <c r="C28" s="7" t="s">
        <v>547</v>
      </c>
      <c r="D28" s="8" t="s">
        <v>548</v>
      </c>
      <c r="E28" s="6" t="s">
        <v>14</v>
      </c>
      <c r="F28" s="8" t="s">
        <v>549</v>
      </c>
      <c r="G28" s="8" t="s">
        <v>550</v>
      </c>
      <c r="H28" s="8" t="s">
        <v>551</v>
      </c>
      <c r="I28" s="6" t="s">
        <v>431</v>
      </c>
      <c r="J28" s="6" t="s">
        <v>19</v>
      </c>
      <c r="K28" s="8" t="s">
        <v>20</v>
      </c>
    </row>
    <row r="29" customFormat="false" ht="60" hidden="false" customHeight="true" outlineLevel="0" collapsed="false">
      <c r="A29" s="6" t="n">
        <v>28</v>
      </c>
      <c r="B29" s="6" t="s">
        <v>365</v>
      </c>
      <c r="C29" s="7" t="s">
        <v>552</v>
      </c>
      <c r="D29" s="8" t="s">
        <v>553</v>
      </c>
      <c r="E29" s="6" t="s">
        <v>14</v>
      </c>
      <c r="F29" s="8" t="s">
        <v>554</v>
      </c>
      <c r="G29" s="8" t="s">
        <v>555</v>
      </c>
      <c r="H29" s="8" t="s">
        <v>556</v>
      </c>
      <c r="I29" s="6" t="s">
        <v>431</v>
      </c>
      <c r="J29" s="6" t="s">
        <v>19</v>
      </c>
      <c r="K29" s="8" t="s">
        <v>20</v>
      </c>
    </row>
    <row r="30" customFormat="false" ht="60" hidden="false" customHeight="true" outlineLevel="0" collapsed="false">
      <c r="A30" s="6" t="n">
        <v>29</v>
      </c>
      <c r="B30" s="6" t="s">
        <v>365</v>
      </c>
      <c r="C30" s="7" t="s">
        <v>557</v>
      </c>
      <c r="D30" s="8" t="s">
        <v>558</v>
      </c>
      <c r="E30" s="6" t="s">
        <v>38</v>
      </c>
      <c r="F30" s="8" t="s">
        <v>559</v>
      </c>
      <c r="G30" s="8" t="s">
        <v>560</v>
      </c>
      <c r="H30" s="8" t="s">
        <v>561</v>
      </c>
      <c r="I30" s="6" t="s">
        <v>431</v>
      </c>
      <c r="J30" s="6" t="s">
        <v>19</v>
      </c>
      <c r="K30" s="8" t="s">
        <v>20</v>
      </c>
    </row>
    <row r="32" customFormat="false" ht="15" hidden="false" customHeight="false" outlineLevel="0" collapsed="false">
      <c r="A32" s="10" t="s">
        <v>562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</row>
  </sheetData>
  <mergeCells count="1">
    <mergeCell ref="A32:K32"/>
  </mergeCells>
  <dataValidations count="6">
    <dataValidation allowBlank="true" errorStyle="stop" operator="between" showDropDown="false" showErrorMessage="false" showInputMessage="false" sqref="B2:B30" type="list">
      <formula1>"Autentikasi,Master Data,Penjadwalan,Laporan"</formula1>
      <formula2>0</formula2>
    </dataValidation>
    <dataValidation allowBlank="true" errorStyle="stop" operator="between" showDropDown="false" showErrorMessage="false" showInputMessage="false" sqref="B34:B300" type="list">
      <formula1>"Autentikasi,Master Data,Penjadwalan,Laporan"</formula1>
      <formula2>0</formula2>
    </dataValidation>
    <dataValidation allowBlank="true" errorStyle="stop" operator="between" showDropDown="false" showErrorMessage="false" showInputMessage="false" sqref="E2:E30" type="list">
      <formula1>"P00,P0,P1,P2,P3"</formula1>
      <formula2>0</formula2>
    </dataValidation>
    <dataValidation allowBlank="true" errorStyle="stop" operator="between" showDropDown="false" showErrorMessage="false" showInputMessage="false" sqref="E34:E300" type="list">
      <formula1>"P00,P0,P1,P2,P3"</formula1>
      <formula2>0</formula2>
    </dataValidation>
    <dataValidation allowBlank="true" errorStyle="stop" operator="between" showDropDown="false" showErrorMessage="false" showInputMessage="false" sqref="J2:J30" type="list">
      <formula1>"Not Tested,In Progress,Failed,Passed,Blocked"</formula1>
      <formula2>0</formula2>
    </dataValidation>
    <dataValidation allowBlank="true" errorStyle="stop" operator="between" showDropDown="false" showErrorMessage="false" showInputMessage="false" sqref="J34:J300" type="list">
      <formula1>"Not Tested,In Progress,Failed,Passed,Blocked"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42"/>
    <col collapsed="false" customWidth="true" hidden="false" outlineLevel="0" max="5" min="5" style="1" width="12.86"/>
    <col collapsed="false" customWidth="true" hidden="false" outlineLevel="0" max="7" min="6" style="1" width="32"/>
    <col collapsed="false" customWidth="true" hidden="false" outlineLevel="0" max="8" min="8" style="1" width="22"/>
    <col collapsed="false" customWidth="true" hidden="false" outlineLevel="0" max="9" min="9" style="1" width="16.43"/>
    <col collapsed="false" customWidth="true" hidden="false" outlineLevel="0" max="26" min="10" style="1" width="8.71"/>
  </cols>
  <sheetData>
    <row r="1" customFormat="false" ht="27.75" hidden="false" customHeight="true" outlineLevel="0" collapsed="false">
      <c r="A1" s="2" t="s">
        <v>0</v>
      </c>
      <c r="B1" s="2" t="s">
        <v>563</v>
      </c>
      <c r="C1" s="2" t="s">
        <v>2</v>
      </c>
      <c r="D1" s="2" t="s">
        <v>564</v>
      </c>
      <c r="E1" s="2" t="s">
        <v>4</v>
      </c>
      <c r="F1" s="2" t="s">
        <v>7</v>
      </c>
      <c r="G1" s="2" t="s">
        <v>565</v>
      </c>
      <c r="H1" s="2" t="s">
        <v>566</v>
      </c>
      <c r="I1" s="2" t="s">
        <v>9</v>
      </c>
    </row>
    <row r="2" customFormat="false" ht="22.5" hidden="false" customHeight="true" outlineLevel="0" collapsed="false">
      <c r="A2" s="11" t="s">
        <v>567</v>
      </c>
      <c r="B2" s="11"/>
      <c r="C2" s="11"/>
      <c r="D2" s="11"/>
      <c r="E2" s="11"/>
      <c r="F2" s="11"/>
      <c r="G2" s="11"/>
      <c r="H2" s="11"/>
      <c r="I2" s="11"/>
    </row>
    <row r="3" customFormat="false" ht="22.5" hidden="false" customHeight="true" outlineLevel="0" collapsed="false">
      <c r="A3" s="3"/>
      <c r="B3" s="4"/>
      <c r="C3" s="4"/>
      <c r="D3" s="5"/>
      <c r="E3" s="3"/>
      <c r="F3" s="5"/>
      <c r="G3" s="5"/>
      <c r="H3" s="5"/>
      <c r="I3" s="3"/>
    </row>
    <row r="4" customFormat="false" ht="22.5" hidden="false" customHeight="true" outlineLevel="0" collapsed="false">
      <c r="A4" s="3"/>
      <c r="B4" s="4"/>
      <c r="C4" s="4"/>
      <c r="D4" s="5"/>
      <c r="E4" s="3"/>
      <c r="F4" s="5"/>
      <c r="G4" s="5"/>
      <c r="H4" s="5"/>
      <c r="I4" s="3"/>
    </row>
    <row r="5" customFormat="false" ht="22.5" hidden="false" customHeight="true" outlineLevel="0" collapsed="false">
      <c r="A5" s="3"/>
      <c r="B5" s="4"/>
      <c r="C5" s="4"/>
      <c r="D5" s="5"/>
      <c r="E5" s="3"/>
      <c r="F5" s="5"/>
      <c r="G5" s="5"/>
      <c r="H5" s="5"/>
      <c r="I5" s="3"/>
    </row>
    <row r="6" customFormat="false" ht="22.5" hidden="false" customHeight="true" outlineLevel="0" collapsed="false">
      <c r="A6" s="3"/>
      <c r="B6" s="4"/>
      <c r="C6" s="4"/>
      <c r="D6" s="5"/>
      <c r="E6" s="3"/>
      <c r="F6" s="5"/>
      <c r="G6" s="5"/>
      <c r="H6" s="5"/>
      <c r="I6" s="3"/>
    </row>
    <row r="7" customFormat="false" ht="22.5" hidden="false" customHeight="true" outlineLevel="0" collapsed="false">
      <c r="A7" s="3"/>
      <c r="B7" s="4"/>
      <c r="C7" s="4"/>
      <c r="D7" s="5"/>
      <c r="E7" s="3"/>
      <c r="F7" s="5"/>
      <c r="G7" s="5"/>
      <c r="H7" s="5"/>
      <c r="I7" s="3"/>
    </row>
    <row r="8" customFormat="false" ht="22.5" hidden="false" customHeight="true" outlineLevel="0" collapsed="false">
      <c r="A8" s="3"/>
      <c r="B8" s="4"/>
      <c r="C8" s="4"/>
      <c r="D8" s="5"/>
      <c r="E8" s="3"/>
      <c r="F8" s="5"/>
      <c r="G8" s="5"/>
      <c r="H8" s="5"/>
      <c r="I8" s="3"/>
    </row>
    <row r="9" customFormat="false" ht="22.5" hidden="false" customHeight="true" outlineLevel="0" collapsed="false">
      <c r="A9" s="3"/>
      <c r="B9" s="4"/>
      <c r="C9" s="4"/>
      <c r="D9" s="5"/>
      <c r="E9" s="3"/>
      <c r="F9" s="5"/>
      <c r="G9" s="5"/>
      <c r="H9" s="5"/>
      <c r="I9" s="3"/>
    </row>
    <row r="10" customFormat="false" ht="15" hidden="false" customHeight="true" outlineLevel="0" collapsed="false"/>
    <row r="11" customFormat="false" ht="30" hidden="false" customHeight="true" outlineLevel="0" collapsed="false">
      <c r="A11" s="12"/>
    </row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2:I2"/>
  </mergeCells>
  <conditionalFormatting sqref="E2:E1000">
    <cfRule type="cellIs" priority="2" operator="equal" aboveAverage="0" equalAverage="0" bottom="0" percent="0" rank="0" text="" dxfId="10">
      <formula>"P00"</formula>
    </cfRule>
    <cfRule type="cellIs" priority="3" operator="equal" aboveAverage="0" equalAverage="0" bottom="0" percent="0" rank="0" text="" dxfId="11">
      <formula>"P0"</formula>
    </cfRule>
    <cfRule type="cellIs" priority="4" operator="equal" aboveAverage="0" equalAverage="0" bottom="0" percent="0" rank="0" text="" dxfId="12">
      <formula>"P1"</formula>
    </cfRule>
    <cfRule type="cellIs" priority="5" operator="equal" aboveAverage="0" equalAverage="0" bottom="0" percent="0" rank="0" text="" dxfId="13">
      <formula>"P2"</formula>
    </cfRule>
    <cfRule type="cellIs" priority="6" operator="equal" aboveAverage="0" equalAverage="0" bottom="0" percent="0" rank="0" text="" dxfId="14">
      <formula>"P3"</formula>
    </cfRule>
  </conditionalFormatting>
  <conditionalFormatting sqref="I2:I1000">
    <cfRule type="cellIs" priority="7" operator="equal" aboveAverage="0" equalAverage="0" bottom="0" percent="0" rank="0" text="" dxfId="17">
      <formula>"Not Fixed"</formula>
    </cfRule>
    <cfRule type="cellIs" priority="8" operator="equal" aboveAverage="0" equalAverage="0" bottom="0" percent="0" rank="0" text="" dxfId="16">
      <formula>"In Progress"</formula>
    </cfRule>
    <cfRule type="cellIs" priority="9" operator="equal" aboveAverage="0" equalAverage="0" bottom="0" percent="0" rank="0" text="" dxfId="19">
      <formula>"Blocked"</formula>
    </cfRule>
    <cfRule type="cellIs" priority="10" operator="equal" aboveAverage="0" equalAverage="0" bottom="0" percent="0" rank="0" text="" dxfId="20">
      <formula>"Ready to Test"</formula>
    </cfRule>
    <cfRule type="cellIs" priority="11" operator="equal" aboveAverage="0" equalAverage="0" bottom="0" percent="0" rank="0" text="" dxfId="18">
      <formula>"Completed"</formula>
    </cfRule>
  </conditionalFormatting>
  <dataValidations count="3">
    <dataValidation allowBlank="true" errorStyle="stop" operator="between" showDropDown="false" showErrorMessage="false" showInputMessage="false" sqref="E4:E300" type="list">
      <formula1>"P00,P0,P1,P2,P3"</formula1>
      <formula2>0</formula2>
    </dataValidation>
    <dataValidation allowBlank="true" errorStyle="stop" operator="between" showDropDown="false" showErrorMessage="false" showInputMessage="false" sqref="I4:I300" type="list">
      <formula1>"Not Fixed,In Progress,Blocked,Ready to Test,Completed"</formula1>
      <formula2>0</formula2>
    </dataValidation>
    <dataValidation allowBlank="true" errorStyle="stop" operator="between" showDropDown="false" showErrorMessage="false" showInputMessage="false" sqref="A4:A300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8" min="1" style="1" width="10.57"/>
    <col collapsed="false" customWidth="true" hidden="false" outlineLevel="0" max="26" min="19" style="1" width="8.71"/>
  </cols>
  <sheetData>
    <row r="1" customFormat="false" ht="30" hidden="false" customHeight="true" outlineLevel="0" collapsed="false">
      <c r="A1" s="13" t="s">
        <v>568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3" customFormat="false" ht="21.75" hidden="false" customHeight="true" outlineLevel="0" collapsed="false">
      <c r="A3" s="14" t="s">
        <v>569</v>
      </c>
      <c r="B3" s="14"/>
      <c r="C3" s="14" t="s">
        <v>570</v>
      </c>
      <c r="D3" s="14"/>
      <c r="E3" s="14" t="s">
        <v>571</v>
      </c>
      <c r="F3" s="14"/>
      <c r="G3" s="14" t="s">
        <v>572</v>
      </c>
      <c r="H3" s="14"/>
      <c r="I3" s="14" t="s">
        <v>573</v>
      </c>
      <c r="J3" s="14"/>
      <c r="K3" s="14" t="s">
        <v>19</v>
      </c>
      <c r="L3" s="14"/>
      <c r="M3" s="14" t="s">
        <v>574</v>
      </c>
      <c r="N3" s="14"/>
    </row>
    <row r="4" customFormat="false" ht="30" hidden="false" customHeight="true" outlineLevel="0" collapsed="false">
      <c r="A4" s="15" t="n">
        <f aca="false">COUNTA('Test Case'!$C$2:$C$300)</f>
        <v>84</v>
      </c>
      <c r="B4" s="15"/>
      <c r="C4" s="15" t="n">
        <f aca="false">COUNTIF('Test Case'!$J$2:$J$300,"Passed")</f>
        <v>0</v>
      </c>
      <c r="D4" s="15"/>
      <c r="E4" s="15" t="n">
        <f aca="false">COUNTIF('Test Case'!$J$2:$J$300,"Failed")</f>
        <v>0</v>
      </c>
      <c r="F4" s="15"/>
      <c r="G4" s="15" t="n">
        <f aca="false">COUNTIF('Test Case'!$J$2:$J$300,"Blocked")</f>
        <v>0</v>
      </c>
      <c r="H4" s="15"/>
      <c r="I4" s="15" t="n">
        <f aca="false">COUNTIF('Test Case'!$J$2:$J$300,"In Progress")</f>
        <v>0</v>
      </c>
      <c r="J4" s="15"/>
      <c r="K4" s="15" t="n">
        <f aca="false">COUNTIF('Test Case'!$J$2:$J$300,"Not Tested")</f>
        <v>84</v>
      </c>
      <c r="L4" s="15"/>
      <c r="M4" s="16" t="n">
        <f aca="false">IFERROR(C4/A4,0)</f>
        <v>0</v>
      </c>
      <c r="N4" s="16"/>
    </row>
    <row r="6" customFormat="false" ht="21.75" hidden="false" customHeight="true" outlineLevel="0" collapsed="false">
      <c r="A6" s="14" t="s">
        <v>575</v>
      </c>
      <c r="B6" s="14"/>
      <c r="C6" s="14" t="s">
        <v>576</v>
      </c>
      <c r="D6" s="14"/>
      <c r="E6" s="14" t="s">
        <v>577</v>
      </c>
      <c r="F6" s="14"/>
      <c r="G6" s="14" t="s">
        <v>578</v>
      </c>
      <c r="H6" s="14"/>
    </row>
    <row r="7" customFormat="false" ht="30" hidden="false" customHeight="true" outlineLevel="0" collapsed="false">
      <c r="A7" s="15" t="n">
        <f aca="false">COUNTA('Bug Report'!$B$2:$B$300)</f>
        <v>0</v>
      </c>
      <c r="B7" s="15"/>
      <c r="C7" s="15" t="n">
        <f aca="false">COUNTIF('Bug Report'!$I$2:$I$300,"Completed")</f>
        <v>0</v>
      </c>
      <c r="D7" s="15"/>
      <c r="E7" s="15" t="n">
        <f aca="false">A7-C7</f>
        <v>0</v>
      </c>
      <c r="F7" s="15"/>
      <c r="G7" s="15" t="n">
        <f aca="false">COUNTIF('Bug Report'!$E$2:$E$300,"P00")+COUNTIF('Bug Report'!$E$2:$E$300,"P0")</f>
        <v>0</v>
      </c>
      <c r="H7" s="15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3">
    <mergeCell ref="A1:R1"/>
    <mergeCell ref="A3:B3"/>
    <mergeCell ref="C3:D3"/>
    <mergeCell ref="E3:F3"/>
    <mergeCell ref="G3:H3"/>
    <mergeCell ref="I3:J3"/>
    <mergeCell ref="K3:L3"/>
    <mergeCell ref="M3:N3"/>
    <mergeCell ref="A4:B4"/>
    <mergeCell ref="C4:D4"/>
    <mergeCell ref="E4:F4"/>
    <mergeCell ref="G4:H4"/>
    <mergeCell ref="I4:J4"/>
    <mergeCell ref="K4:L4"/>
    <mergeCell ref="M4:N4"/>
    <mergeCell ref="A6:B6"/>
    <mergeCell ref="C6:D6"/>
    <mergeCell ref="E6:F6"/>
    <mergeCell ref="G6:H6"/>
    <mergeCell ref="A7:B7"/>
    <mergeCell ref="C7:D7"/>
    <mergeCell ref="E7:F7"/>
    <mergeCell ref="G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8" min="2" style="1" width="12"/>
    <col collapsed="false" customWidth="true" hidden="false" outlineLevel="0" max="26" min="9" style="1" width="8.71"/>
  </cols>
  <sheetData>
    <row r="1" customFormat="false" ht="19.5" hidden="false" customHeight="true" outlineLevel="0" collapsed="false">
      <c r="A1" s="17" t="s">
        <v>579</v>
      </c>
    </row>
    <row r="3" customFormat="false" ht="21.75" hidden="false" customHeight="true" outlineLevel="0" collapsed="false">
      <c r="A3" s="18" t="s">
        <v>580</v>
      </c>
      <c r="B3" s="18"/>
      <c r="C3" s="18"/>
      <c r="D3" s="18"/>
      <c r="E3" s="18"/>
      <c r="F3" s="18"/>
      <c r="G3" s="18"/>
      <c r="H3" s="18"/>
    </row>
    <row r="4" customFormat="false" ht="19.5" hidden="false" customHeight="true" outlineLevel="0" collapsed="false">
      <c r="A4" s="19" t="s">
        <v>1</v>
      </c>
      <c r="B4" s="19" t="s">
        <v>581</v>
      </c>
      <c r="C4" s="19" t="s">
        <v>19</v>
      </c>
      <c r="D4" s="19" t="s">
        <v>573</v>
      </c>
      <c r="E4" s="19" t="s">
        <v>571</v>
      </c>
      <c r="F4" s="19" t="s">
        <v>570</v>
      </c>
      <c r="G4" s="19" t="s">
        <v>572</v>
      </c>
      <c r="H4" s="19" t="s">
        <v>582</v>
      </c>
    </row>
    <row r="5" customFormat="false" ht="15" hidden="false" customHeight="true" outlineLevel="0" collapsed="false">
      <c r="A5" s="5" t="s">
        <v>11</v>
      </c>
      <c r="B5" s="4" t="n">
        <f aca="false">COUNTIF('Test Case'!$B$2:$B$300,$A5)</f>
        <v>10</v>
      </c>
      <c r="C5" s="4" t="n">
        <f aca="false">COUNTIFS('Test Case'!$B$2:$B$300,$A5,'Test Case'!$J$2:$J$300,"Not Tested")</f>
        <v>10</v>
      </c>
      <c r="D5" s="4" t="n">
        <f aca="false">COUNTIFS('Test Case'!$B$2:$B$300,$A5,'Test Case'!$J$2:$J$300,"In Progress")</f>
        <v>0</v>
      </c>
      <c r="E5" s="4" t="n">
        <f aca="false">COUNTIFS('Test Case'!$B$2:$B$300,$A5,'Test Case'!$J$2:$J$300,"Failed")</f>
        <v>0</v>
      </c>
      <c r="F5" s="4" t="n">
        <f aca="false">COUNTIFS('Test Case'!$B$2:$B$300,$A5,'Test Case'!$J$2:$J$300,"Passed")</f>
        <v>0</v>
      </c>
      <c r="G5" s="4" t="n">
        <f aca="false">COUNTIFS('Test Case'!$B$2:$B$300,$A5,'Test Case'!$J$2:$J$300,"Blocked")</f>
        <v>0</v>
      </c>
      <c r="H5" s="20" t="n">
        <f aca="false">IFERROR(F5/B5,0)</f>
        <v>0</v>
      </c>
    </row>
    <row r="6" customFormat="false" ht="15" hidden="false" customHeight="true" outlineLevel="0" collapsed="false">
      <c r="A6" s="5" t="s">
        <v>66</v>
      </c>
      <c r="B6" s="4" t="n">
        <f aca="false">COUNTIF('Test Case'!$B$2:$B$300,$A6)</f>
        <v>46</v>
      </c>
      <c r="C6" s="4" t="n">
        <f aca="false">COUNTIFS('Test Case'!$B$2:$B$300,$A6,'Test Case'!$J$2:$J$300,"Not Tested")</f>
        <v>46</v>
      </c>
      <c r="D6" s="4" t="n">
        <f aca="false">COUNTIFS('Test Case'!$B$2:$B$300,$A6,'Test Case'!$J$2:$J$300,"In Progress")</f>
        <v>0</v>
      </c>
      <c r="E6" s="4" t="n">
        <f aca="false">COUNTIFS('Test Case'!$B$2:$B$300,$A6,'Test Case'!$J$2:$J$300,"Failed")</f>
        <v>0</v>
      </c>
      <c r="F6" s="4" t="n">
        <f aca="false">COUNTIFS('Test Case'!$B$2:$B$300,$A6,'Test Case'!$J$2:$J$300,"Passed")</f>
        <v>0</v>
      </c>
      <c r="G6" s="4" t="n">
        <f aca="false">COUNTIFS('Test Case'!$B$2:$B$300,$A6,'Test Case'!$J$2:$J$300,"Blocked")</f>
        <v>0</v>
      </c>
      <c r="H6" s="20" t="n">
        <f aca="false">IFERROR(F6/B6,0)</f>
        <v>0</v>
      </c>
    </row>
    <row r="7" customFormat="false" ht="15" hidden="false" customHeight="true" outlineLevel="0" collapsed="false">
      <c r="A7" s="5" t="s">
        <v>287</v>
      </c>
      <c r="B7" s="4" t="n">
        <f aca="false">COUNTIF('Test Case'!$B$2:$B$300,$A7)</f>
        <v>16</v>
      </c>
      <c r="C7" s="4" t="n">
        <f aca="false">COUNTIFS('Test Case'!$B$2:$B$300,$A7,'Test Case'!$J$2:$J$300,"Not Tested")</f>
        <v>16</v>
      </c>
      <c r="D7" s="4" t="n">
        <f aca="false">COUNTIFS('Test Case'!$B$2:$B$300,$A7,'Test Case'!$J$2:$J$300,"In Progress")</f>
        <v>0</v>
      </c>
      <c r="E7" s="4" t="n">
        <f aca="false">COUNTIFS('Test Case'!$B$2:$B$300,$A7,'Test Case'!$J$2:$J$300,"Failed")</f>
        <v>0</v>
      </c>
      <c r="F7" s="4" t="n">
        <f aca="false">COUNTIFS('Test Case'!$B$2:$B$300,$A7,'Test Case'!$J$2:$J$300,"Passed")</f>
        <v>0</v>
      </c>
      <c r="G7" s="4" t="n">
        <f aca="false">COUNTIFS('Test Case'!$B$2:$B$300,$A7,'Test Case'!$J$2:$J$300,"Blocked")</f>
        <v>0</v>
      </c>
      <c r="H7" s="20" t="n">
        <f aca="false">IFERROR(F7/B7,0)</f>
        <v>0</v>
      </c>
    </row>
    <row r="8" customFormat="false" ht="15" hidden="false" customHeight="true" outlineLevel="0" collapsed="false">
      <c r="A8" s="5" t="s">
        <v>365</v>
      </c>
      <c r="B8" s="4" t="n">
        <f aca="false">COUNTIF('Test Case'!$B$2:$B$300,$A8)</f>
        <v>12</v>
      </c>
      <c r="C8" s="4" t="n">
        <f aca="false">COUNTIFS('Test Case'!$B$2:$B$300,$A8,'Test Case'!$J$2:$J$300,"Not Tested")</f>
        <v>12</v>
      </c>
      <c r="D8" s="4" t="n">
        <f aca="false">COUNTIFS('Test Case'!$B$2:$B$300,$A8,'Test Case'!$J$2:$J$300,"In Progress")</f>
        <v>0</v>
      </c>
      <c r="E8" s="4" t="n">
        <f aca="false">COUNTIFS('Test Case'!$B$2:$B$300,$A8,'Test Case'!$J$2:$J$300,"Failed")</f>
        <v>0</v>
      </c>
      <c r="F8" s="4" t="n">
        <f aca="false">COUNTIFS('Test Case'!$B$2:$B$300,$A8,'Test Case'!$J$2:$J$300,"Passed")</f>
        <v>0</v>
      </c>
      <c r="G8" s="4" t="n">
        <f aca="false">COUNTIFS('Test Case'!$B$2:$B$300,$A8,'Test Case'!$J$2:$J$300,"Blocked")</f>
        <v>0</v>
      </c>
      <c r="H8" s="20" t="n">
        <f aca="false">IFERROR(F8/B8,0)</f>
        <v>0</v>
      </c>
    </row>
    <row r="9" customFormat="false" ht="15" hidden="false" customHeight="true" outlineLevel="0" collapsed="false">
      <c r="A9" s="21" t="s">
        <v>583</v>
      </c>
      <c r="B9" s="21" t="n">
        <f aca="false">SUM(B5:B8)</f>
        <v>84</v>
      </c>
      <c r="C9" s="21" t="n">
        <f aca="false">SUM(C5:C8)</f>
        <v>84</v>
      </c>
      <c r="D9" s="21" t="n">
        <f aca="false">SUM(D5:D8)</f>
        <v>0</v>
      </c>
      <c r="E9" s="21" t="n">
        <f aca="false">SUM(E5:E8)</f>
        <v>0</v>
      </c>
      <c r="F9" s="21" t="n">
        <f aca="false">SUM(F5:F8)</f>
        <v>0</v>
      </c>
      <c r="G9" s="21" t="n">
        <f aca="false">SUM(G5:G8)</f>
        <v>0</v>
      </c>
      <c r="H9" s="22" t="n">
        <f aca="false">IFERROR(F9/B9,0)</f>
        <v>0</v>
      </c>
    </row>
    <row r="11" customFormat="false" ht="21.75" hidden="false" customHeight="true" outlineLevel="0" collapsed="false">
      <c r="A11" s="18" t="s">
        <v>584</v>
      </c>
      <c r="B11" s="18"/>
      <c r="C11" s="18"/>
      <c r="D11" s="18"/>
      <c r="E11" s="18"/>
      <c r="F11" s="18"/>
      <c r="G11" s="18"/>
      <c r="H11" s="18"/>
    </row>
    <row r="12" customFormat="false" ht="19.5" hidden="false" customHeight="true" outlineLevel="0" collapsed="false">
      <c r="A12" s="19" t="s">
        <v>9</v>
      </c>
      <c r="B12" s="19" t="s">
        <v>585</v>
      </c>
    </row>
    <row r="13" customFormat="false" ht="15" hidden="false" customHeight="true" outlineLevel="0" collapsed="false">
      <c r="A13" s="5" t="s">
        <v>19</v>
      </c>
      <c r="B13" s="4" t="n">
        <f aca="false">COUNTIF('Test Case'!$J$2:$J$300,"Not Tested")</f>
        <v>84</v>
      </c>
    </row>
    <row r="14" customFormat="false" ht="15" hidden="false" customHeight="true" outlineLevel="0" collapsed="false">
      <c r="A14" s="5" t="s">
        <v>573</v>
      </c>
      <c r="B14" s="4" t="n">
        <f aca="false">COUNTIF('Test Case'!$J$2:$J$300,"In Progress")</f>
        <v>0</v>
      </c>
    </row>
    <row r="15" customFormat="false" ht="15" hidden="false" customHeight="true" outlineLevel="0" collapsed="false">
      <c r="A15" s="5" t="s">
        <v>571</v>
      </c>
      <c r="B15" s="4" t="n">
        <f aca="false">COUNTIF('Test Case'!$J$2:$J$300,"Failed")</f>
        <v>0</v>
      </c>
    </row>
    <row r="16" customFormat="false" ht="15" hidden="false" customHeight="true" outlineLevel="0" collapsed="false">
      <c r="A16" s="5" t="s">
        <v>570</v>
      </c>
      <c r="B16" s="4" t="n">
        <f aca="false">COUNTIF('Test Case'!$J$2:$J$300,"Passed")</f>
        <v>0</v>
      </c>
    </row>
    <row r="17" customFormat="false" ht="15" hidden="false" customHeight="true" outlineLevel="0" collapsed="false">
      <c r="A17" s="5" t="s">
        <v>572</v>
      </c>
      <c r="B17" s="4" t="n">
        <f aca="false">COUNTIF('Test Case'!$J$2:$J$300,"Blocked")</f>
        <v>0</v>
      </c>
    </row>
    <row r="19" customFormat="false" ht="21.75" hidden="false" customHeight="true" outlineLevel="0" collapsed="false">
      <c r="A19" s="18" t="s">
        <v>586</v>
      </c>
      <c r="B19" s="18"/>
      <c r="C19" s="18"/>
      <c r="D19" s="18"/>
      <c r="E19" s="18"/>
      <c r="F19" s="18"/>
      <c r="G19" s="18"/>
      <c r="H19" s="18"/>
    </row>
    <row r="20" customFormat="false" ht="19.5" hidden="false" customHeight="true" outlineLevel="0" collapsed="false">
      <c r="A20" s="19" t="s">
        <v>4</v>
      </c>
      <c r="B20" s="19" t="s">
        <v>585</v>
      </c>
    </row>
    <row r="21" customFormat="false" ht="15.75" hidden="false" customHeight="true" outlineLevel="0" collapsed="false">
      <c r="A21" s="4" t="s">
        <v>103</v>
      </c>
      <c r="B21" s="4" t="n">
        <f aca="false">COUNTIF('Test Case'!$E$2:$E$300,"P00")</f>
        <v>5</v>
      </c>
    </row>
    <row r="22" customFormat="false" ht="15.75" hidden="false" customHeight="true" outlineLevel="0" collapsed="false">
      <c r="A22" s="4" t="s">
        <v>38</v>
      </c>
      <c r="B22" s="4" t="n">
        <f aca="false">COUNTIF('Test Case'!$E$2:$E$300,"P0")</f>
        <v>11</v>
      </c>
    </row>
    <row r="23" customFormat="false" ht="15.75" hidden="false" customHeight="true" outlineLevel="0" collapsed="false">
      <c r="A23" s="4" t="s">
        <v>14</v>
      </c>
      <c r="B23" s="4" t="n">
        <f aca="false">COUNTIF('Test Case'!$E$2:$E$300,"P1")</f>
        <v>39</v>
      </c>
    </row>
    <row r="24" customFormat="false" ht="15.75" hidden="false" customHeight="true" outlineLevel="0" collapsed="false">
      <c r="A24" s="4" t="s">
        <v>33</v>
      </c>
      <c r="B24" s="4" t="n">
        <f aca="false">COUNTIF('Test Case'!$E$2:$E$300,"P2")</f>
        <v>15</v>
      </c>
    </row>
    <row r="25" customFormat="false" ht="15.75" hidden="false" customHeight="true" outlineLevel="0" collapsed="false">
      <c r="A25" s="4" t="s">
        <v>44</v>
      </c>
      <c r="B25" s="4" t="n">
        <f aca="false">COUNTIF('Test Case'!$E$2:$E$300,"P3")</f>
        <v>14</v>
      </c>
    </row>
    <row r="26" customFormat="false" ht="15.75" hidden="false" customHeight="true" outlineLevel="0" collapsed="false"/>
    <row r="27" customFormat="false" ht="21.75" hidden="false" customHeight="true" outlineLevel="0" collapsed="false">
      <c r="A27" s="18" t="s">
        <v>587</v>
      </c>
      <c r="B27" s="18"/>
      <c r="C27" s="18"/>
      <c r="D27" s="18"/>
      <c r="E27" s="18"/>
      <c r="F27" s="18"/>
      <c r="G27" s="18"/>
      <c r="H27" s="18"/>
    </row>
    <row r="28" customFormat="false" ht="19.5" hidden="false" customHeight="true" outlineLevel="0" collapsed="false">
      <c r="A28" s="19" t="s">
        <v>8</v>
      </c>
      <c r="B28" s="19" t="s">
        <v>585</v>
      </c>
    </row>
    <row r="29" customFormat="false" ht="15.75" hidden="false" customHeight="true" outlineLevel="0" collapsed="false">
      <c r="A29" s="4" t="s">
        <v>18</v>
      </c>
      <c r="B29" s="4" t="n">
        <f aca="false">COUNTIF('Test Case'!$I$2:$I$300,"Manual")</f>
        <v>60</v>
      </c>
    </row>
    <row r="30" customFormat="false" ht="15.75" hidden="false" customHeight="true" outlineLevel="0" collapsed="false">
      <c r="A30" s="4" t="s">
        <v>26</v>
      </c>
      <c r="B30" s="4" t="n">
        <f aca="false">COUNTIF('Test Case'!$I$2:$I$300,"Automation")</f>
        <v>24</v>
      </c>
    </row>
    <row r="31" customFormat="false" ht="15.75" hidden="false" customHeight="true" outlineLevel="0" collapsed="false">
      <c r="A31" s="4" t="s">
        <v>431</v>
      </c>
      <c r="B31" s="4" t="n">
        <f aca="false">COUNTIF('Test Case'!$I$2:$I$300,"API")</f>
        <v>0</v>
      </c>
    </row>
    <row r="32" customFormat="false" ht="15.75" hidden="false" customHeight="true" outlineLevel="0" collapsed="false"/>
    <row r="33" customFormat="false" ht="21.75" hidden="false" customHeight="true" outlineLevel="0" collapsed="false">
      <c r="A33" s="23" t="s">
        <v>588</v>
      </c>
      <c r="B33" s="23"/>
      <c r="C33" s="23"/>
      <c r="D33" s="23"/>
      <c r="E33" s="23"/>
      <c r="F33" s="23"/>
      <c r="G33" s="23"/>
      <c r="H33" s="23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3:H3"/>
    <mergeCell ref="A11:H11"/>
    <mergeCell ref="A19:H19"/>
    <mergeCell ref="A27:H27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26" min="3" style="1" width="8.71"/>
  </cols>
  <sheetData>
    <row r="1" customFormat="false" ht="19.5" hidden="false" customHeight="true" outlineLevel="0" collapsed="false">
      <c r="A1" s="17" t="s">
        <v>589</v>
      </c>
    </row>
    <row r="3" customFormat="false" ht="21.75" hidden="false" customHeight="true" outlineLevel="0" collapsed="false">
      <c r="A3" s="18" t="s">
        <v>590</v>
      </c>
      <c r="B3" s="18"/>
    </row>
    <row r="4" customFormat="false" ht="19.5" hidden="false" customHeight="true" outlineLevel="0" collapsed="false">
      <c r="A4" s="19" t="s">
        <v>4</v>
      </c>
      <c r="B4" s="19" t="s">
        <v>585</v>
      </c>
    </row>
    <row r="5" customFormat="false" ht="15" hidden="false" customHeight="true" outlineLevel="0" collapsed="false">
      <c r="A5" s="4" t="s">
        <v>103</v>
      </c>
      <c r="B5" s="4" t="n">
        <f aca="false">COUNTIF('Bug Report'!$E$2:$E$300,"P00")</f>
        <v>0</v>
      </c>
    </row>
    <row r="6" customFormat="false" ht="15" hidden="false" customHeight="true" outlineLevel="0" collapsed="false">
      <c r="A6" s="4" t="s">
        <v>38</v>
      </c>
      <c r="B6" s="4" t="n">
        <f aca="false">COUNTIF('Bug Report'!$E$2:$E$300,"P0")</f>
        <v>0</v>
      </c>
    </row>
    <row r="7" customFormat="false" ht="15" hidden="false" customHeight="true" outlineLevel="0" collapsed="false">
      <c r="A7" s="4" t="s">
        <v>14</v>
      </c>
      <c r="B7" s="4" t="n">
        <f aca="false">COUNTIF('Bug Report'!$E$2:$E$300,"P1")</f>
        <v>0</v>
      </c>
    </row>
    <row r="8" customFormat="false" ht="15" hidden="false" customHeight="true" outlineLevel="0" collapsed="false">
      <c r="A8" s="4" t="s">
        <v>33</v>
      </c>
      <c r="B8" s="4" t="n">
        <f aca="false">COUNTIF('Bug Report'!$E$2:$E$300,"P2")</f>
        <v>0</v>
      </c>
    </row>
    <row r="9" customFormat="false" ht="15" hidden="false" customHeight="true" outlineLevel="0" collapsed="false">
      <c r="A9" s="4" t="s">
        <v>44</v>
      </c>
      <c r="B9" s="4" t="n">
        <f aca="false">COUNTIF('Bug Report'!$E$2:$E$300,"P3")</f>
        <v>0</v>
      </c>
    </row>
    <row r="11" customFormat="false" ht="21.75" hidden="false" customHeight="true" outlineLevel="0" collapsed="false">
      <c r="A11" s="18" t="s">
        <v>591</v>
      </c>
      <c r="B11" s="18"/>
    </row>
    <row r="12" customFormat="false" ht="19.5" hidden="false" customHeight="true" outlineLevel="0" collapsed="false">
      <c r="A12" s="19" t="s">
        <v>9</v>
      </c>
      <c r="B12" s="19" t="s">
        <v>585</v>
      </c>
    </row>
    <row r="13" customFormat="false" ht="15" hidden="false" customHeight="true" outlineLevel="0" collapsed="false">
      <c r="A13" s="4" t="s">
        <v>592</v>
      </c>
      <c r="B13" s="4" t="n">
        <f aca="false">COUNTIF('Bug Report'!$I$2:$I$300,"Not Fixed")</f>
        <v>0</v>
      </c>
    </row>
    <row r="14" customFormat="false" ht="15" hidden="false" customHeight="true" outlineLevel="0" collapsed="false">
      <c r="A14" s="4" t="s">
        <v>573</v>
      </c>
      <c r="B14" s="4" t="n">
        <f aca="false">COUNTIF('Bug Report'!$I$2:$I$300,"In Progress")</f>
        <v>0</v>
      </c>
    </row>
    <row r="15" customFormat="false" ht="15" hidden="false" customHeight="true" outlineLevel="0" collapsed="false">
      <c r="A15" s="4" t="s">
        <v>572</v>
      </c>
      <c r="B15" s="4" t="n">
        <f aca="false">COUNTIF('Bug Report'!$I$2:$I$300,"Blocked")</f>
        <v>0</v>
      </c>
    </row>
    <row r="16" customFormat="false" ht="15" hidden="false" customHeight="true" outlineLevel="0" collapsed="false">
      <c r="A16" s="4" t="s">
        <v>593</v>
      </c>
      <c r="B16" s="4" t="n">
        <f aca="false">COUNTIF('Bug Report'!$I$2:$I$300,"Ready to Test")</f>
        <v>0</v>
      </c>
    </row>
    <row r="17" customFormat="false" ht="15" hidden="false" customHeight="true" outlineLevel="0" collapsed="false">
      <c r="A17" s="4" t="s">
        <v>594</v>
      </c>
      <c r="B17" s="4" t="n">
        <f aca="false">COUNTIF('Bug Report'!$I$2:$I$300,"Completed")</f>
        <v>0</v>
      </c>
    </row>
    <row r="19" customFormat="false" ht="15" hidden="false" customHeight="true" outlineLevel="0" collapsed="false">
      <c r="A19" s="24" t="s">
        <v>595</v>
      </c>
      <c r="B19" s="24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3:B3"/>
    <mergeCell ref="A11:B11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2026-09-10T03:39:07Z</dcterms:created>
  <dc:creator>openpyxl</dc:creator>
  <dc:description/>
  <dc:language>en-US</dc:language>
  <cp:lastModifiedBy/>
  <dcterms:modified xsi:type="dcterms:W3CDTF">2026-09-17T03:46:01Z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